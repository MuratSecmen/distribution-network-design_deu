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RAIL" sheetId="2" state="visible" r:id="rId2"/>
    <sheet xmlns:r="http://schemas.openxmlformats.org/officeDocument/2006/relationships" name="ROAD" sheetId="3" state="visible" r:id="rId3"/>
    <sheet xmlns:r="http://schemas.openxmlformats.org/officeDocument/2006/relationships" name="SEA" sheetId="4" state="visible" r:id="rId4"/>
    <sheet xmlns:r="http://schemas.openxmlformats.org/officeDocument/2006/relationships" name="FULL_MATRIX" sheetId="5" state="visible" r:id="rId5"/>
    <sheet xmlns:r="http://schemas.openxmlformats.org/officeDocument/2006/relationships" name="OBJ_VERIF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0D0D0D"/>
      <sz val="10"/>
    </font>
    <font>
      <name val="Arial"/>
      <b val="1"/>
      <color rgb="00FFFFFF"/>
      <sz val="11"/>
    </font>
    <font>
      <name val="Arial"/>
      <color rgb="000000FF"/>
      <sz val="10"/>
    </font>
    <font>
      <name val="Arial"/>
      <i val="1"/>
      <color rgb="00595959"/>
      <sz val="9"/>
    </font>
    <font>
      <name val="Arial"/>
      <b val="1"/>
      <color rgb="00FFFFFF"/>
      <sz val="12"/>
    </font>
    <font>
      <name val="Arial"/>
      <b val="1"/>
      <color rgb="0000B050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" fontId="6" fillId="6" borderId="1" applyAlignment="1" pivotButton="0" quotePrefix="0" xfId="0">
      <alignment horizontal="center" vertical="center" wrapText="1"/>
    </xf>
    <xf numFmtId="1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1" fontId="6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1" fontId="6" fillId="9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3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2" fontId="6" fillId="4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2" fontId="6" fillId="5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58" customWidth="1" min="3" max="3"/>
    <col width="18" customWidth="1" min="4" max="4"/>
  </cols>
  <sheetData>
    <row r="1" ht="36" customHeight="1">
      <c r="A1" s="1" t="inlineStr">
        <is>
          <t>TAŞIMA MALİYETİ MATRİSİ  C_ijtp  (transportation_costs.xlsx)</t>
        </is>
      </c>
    </row>
    <row r="2" ht="20" customHeight="1">
      <c r="A2" s="2" t="inlineStr">
        <is>
          <t>Seçmen, Öncan &amp; Tuna (2015) · Tablo 3.2 (Tren), 3.3 (Kara), 3.4 (Deniz) + Obj.F. doğrulaması</t>
        </is>
      </c>
    </row>
    <row r="4" ht="24" customHeight="1">
      <c r="A4" s="3" t="inlineStr">
        <is>
          <t>#</t>
        </is>
      </c>
      <c r="B4" s="3" t="inlineStr">
        <is>
          <t>Sayfa</t>
        </is>
      </c>
      <c r="C4" s="3" t="inlineStr">
        <is>
          <t>İçerik / Tablo Kaynağı</t>
        </is>
      </c>
      <c r="D4" s="3" t="inlineStr">
        <is>
          <t>Renk</t>
        </is>
      </c>
    </row>
    <row r="5" ht="20" customHeight="1">
      <c r="A5" s="4" t="n">
        <v>1</v>
      </c>
      <c r="B5" s="4" t="inlineStr">
        <is>
          <t>RAIL</t>
        </is>
      </c>
      <c r="C5" s="5" t="inlineStr">
        <is>
          <t>C_ij1p — Tren maliyet matrisi  (Tablo 3.2)</t>
        </is>
      </c>
      <c r="D5" s="6" t="inlineStr">
        <is>
          <t>Yeşil</t>
        </is>
      </c>
    </row>
    <row r="6" ht="20" customHeight="1">
      <c r="A6" s="7" t="n">
        <v>2</v>
      </c>
      <c r="B6" s="7" t="inlineStr">
        <is>
          <t>ROAD</t>
        </is>
      </c>
      <c r="C6" s="8" t="inlineStr">
        <is>
          <t>C_ij2p — Kara maliyet matrisi  (Tablo 3.3)</t>
        </is>
      </c>
      <c r="D6" s="9" t="inlineStr">
        <is>
          <t>Sarı</t>
        </is>
      </c>
    </row>
    <row r="7" ht="20" customHeight="1">
      <c r="A7" s="4" t="n">
        <v>3</v>
      </c>
      <c r="B7" s="4" t="inlineStr">
        <is>
          <t>SEA</t>
        </is>
      </c>
      <c r="C7" s="5" t="inlineStr">
        <is>
          <t>C_ij3p — Deniz maliyet matrisi (Tablo 3.4)</t>
        </is>
      </c>
      <c r="D7" s="6" t="inlineStr">
        <is>
          <t>Turuncu</t>
        </is>
      </c>
    </row>
    <row r="8" ht="20" customHeight="1">
      <c r="A8" s="7" t="n">
        <v>4</v>
      </c>
      <c r="B8" s="7" t="inlineStr">
        <is>
          <t>FULL_MATRIX</t>
        </is>
      </c>
      <c r="C8" s="8" t="inlineStr">
        <is>
          <t>Tüm modlar birleşik (6 rota × 3 mod × 6 dön.)</t>
        </is>
      </c>
      <c r="D8" s="9" t="inlineStr">
        <is>
          <t>Karma</t>
        </is>
      </c>
    </row>
    <row r="9" ht="20" customHeight="1">
      <c r="A9" s="4" t="n">
        <v>5</v>
      </c>
      <c r="B9" s="4" t="inlineStr">
        <is>
          <t>OBJ_VERIFY</t>
        </is>
      </c>
      <c r="C9" s="5" t="inlineStr">
        <is>
          <t>Amaç fonk. katsayısı doğrulaması (C+π×N)</t>
        </is>
      </c>
      <c r="D9" s="6" t="inlineStr">
        <is>
          <t>—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8" customHeight="1">
      <c r="A1" s="10" t="inlineStr">
        <is>
          <t>C_ij1p — TREN TAŞIMA MALİYETİ  (Tablo Tablo 3.2, $/birim)</t>
        </is>
      </c>
    </row>
    <row r="2" ht="24" customHeight="1">
      <c r="A2" s="3" t="inlineStr">
        <is>
          <t>#</t>
        </is>
      </c>
      <c r="B2" s="3" t="inlineStr">
        <is>
          <t>Rota (Tedarikçi i → Fabrika j)</t>
        </is>
      </c>
      <c r="C2" s="3" t="inlineStr">
        <is>
          <t>P1</t>
        </is>
      </c>
      <c r="D2" s="3" t="inlineStr">
        <is>
          <t>P2</t>
        </is>
      </c>
      <c r="E2" s="3" t="inlineStr">
        <is>
          <t>P3</t>
        </is>
      </c>
      <c r="F2" s="3" t="inlineStr">
        <is>
          <t>P4</t>
        </is>
      </c>
      <c r="G2" s="3" t="inlineStr">
        <is>
          <t>P5</t>
        </is>
      </c>
      <c r="H2" s="3" t="inlineStr">
        <is>
          <t>P6</t>
        </is>
      </c>
      <c r="I2" s="3" t="inlineStr">
        <is>
          <t>Min</t>
        </is>
      </c>
      <c r="J2" s="3" t="inlineStr">
        <is>
          <t>Ort.</t>
        </is>
      </c>
    </row>
    <row r="3" ht="22" customHeight="1">
      <c r="A3" s="11" t="n">
        <v>1</v>
      </c>
      <c r="B3" s="12" t="inlineStr">
        <is>
          <t>Russia/T1  →  Spain/F1</t>
        </is>
      </c>
      <c r="C3" s="13" t="n">
        <v>3</v>
      </c>
      <c r="D3" s="13" t="n">
        <v>4</v>
      </c>
      <c r="E3" s="13" t="n">
        <v>5</v>
      </c>
      <c r="F3" s="13" t="n">
        <v>6</v>
      </c>
      <c r="G3" s="13" t="n">
        <v>5</v>
      </c>
      <c r="H3" s="13" t="n">
        <v>5</v>
      </c>
      <c r="I3" s="14">
        <f>MIN(C3:H3)</f>
        <v/>
      </c>
      <c r="J3" s="15">
        <f>AVERAGE(C3:H3)</f>
        <v/>
      </c>
    </row>
    <row r="4" ht="22" customHeight="1">
      <c r="A4" s="11" t="n">
        <v>2</v>
      </c>
      <c r="B4" s="12" t="inlineStr">
        <is>
          <t>Russia/T1  →  Russia/F2</t>
        </is>
      </c>
      <c r="C4" s="13" t="n">
        <v>7</v>
      </c>
      <c r="D4" s="13" t="n">
        <v>6</v>
      </c>
      <c r="E4" s="13" t="n">
        <v>3</v>
      </c>
      <c r="F4" s="13" t="n">
        <v>2</v>
      </c>
      <c r="G4" s="13" t="n">
        <v>2</v>
      </c>
      <c r="H4" s="13" t="n">
        <v>3</v>
      </c>
      <c r="I4" s="14">
        <f>MIN(C4:H4)</f>
        <v/>
      </c>
      <c r="J4" s="15">
        <f>AVERAGE(C4:H4)</f>
        <v/>
      </c>
    </row>
    <row r="5" ht="22" customHeight="1">
      <c r="A5" s="11" t="n">
        <v>3</v>
      </c>
      <c r="B5" s="12" t="inlineStr">
        <is>
          <t>Germany/T2  →  Spain/F1</t>
        </is>
      </c>
      <c r="C5" s="13" t="n">
        <v>6</v>
      </c>
      <c r="D5" s="13" t="n">
        <v>7</v>
      </c>
      <c r="E5" s="13" t="n">
        <v>7</v>
      </c>
      <c r="F5" s="13" t="n">
        <v>8</v>
      </c>
      <c r="G5" s="13" t="n">
        <v>7</v>
      </c>
      <c r="H5" s="13" t="n">
        <v>7</v>
      </c>
      <c r="I5" s="14">
        <f>MIN(C5:H5)</f>
        <v/>
      </c>
      <c r="J5" s="15">
        <f>AVERAGE(C5:H5)</f>
        <v/>
      </c>
    </row>
    <row r="6" ht="22" customHeight="1">
      <c r="A6" s="11" t="n">
        <v>4</v>
      </c>
      <c r="B6" s="12" t="inlineStr">
        <is>
          <t>Germany/T2  →  Russia/F2</t>
        </is>
      </c>
      <c r="C6" s="13" t="n">
        <v>3</v>
      </c>
      <c r="D6" s="13" t="n">
        <v>5</v>
      </c>
      <c r="E6" s="13" t="n">
        <v>9</v>
      </c>
      <c r="F6" s="13" t="n">
        <v>6</v>
      </c>
      <c r="G6" s="13" t="n">
        <v>6</v>
      </c>
      <c r="H6" s="13" t="n">
        <v>9</v>
      </c>
      <c r="I6" s="14">
        <f>MIN(C6:H6)</f>
        <v/>
      </c>
      <c r="J6" s="15">
        <f>AVERAGE(C6:H6)</f>
        <v/>
      </c>
    </row>
    <row r="7" ht="22" customHeight="1">
      <c r="A7" s="11" t="n">
        <v>5</v>
      </c>
      <c r="B7" s="12" t="inlineStr">
        <is>
          <t>Norway/T3  →  Spain/F1</t>
        </is>
      </c>
      <c r="C7" s="13" t="n">
        <v>4</v>
      </c>
      <c r="D7" s="13" t="n">
        <v>6</v>
      </c>
      <c r="E7" s="13" t="n">
        <v>3</v>
      </c>
      <c r="F7" s="13" t="n">
        <v>6</v>
      </c>
      <c r="G7" s="13" t="n">
        <v>3</v>
      </c>
      <c r="H7" s="13" t="n">
        <v>3</v>
      </c>
      <c r="I7" s="14">
        <f>MIN(C7:H7)</f>
        <v/>
      </c>
      <c r="J7" s="15">
        <f>AVERAGE(C7:H7)</f>
        <v/>
      </c>
    </row>
    <row r="8" ht="22" customHeight="1">
      <c r="A8" s="11" t="n">
        <v>6</v>
      </c>
      <c r="B8" s="12" t="inlineStr">
        <is>
          <t>Norway/T3  →  Russia/F2</t>
        </is>
      </c>
      <c r="C8" s="13" t="n">
        <v>6</v>
      </c>
      <c r="D8" s="13" t="n">
        <v>6</v>
      </c>
      <c r="E8" s="13" t="n">
        <v>7</v>
      </c>
      <c r="F8" s="13" t="n">
        <v>5</v>
      </c>
      <c r="G8" s="13" t="n">
        <v>5</v>
      </c>
      <c r="H8" s="13" t="n">
        <v>7</v>
      </c>
      <c r="I8" s="14">
        <f>MIN(C8:H8)</f>
        <v/>
      </c>
      <c r="J8" s="15">
        <f>AVERAGE(C8:H8)</f>
        <v/>
      </c>
    </row>
    <row r="9" ht="22" customHeight="1">
      <c r="A9" s="16" t="inlineStr"/>
      <c r="B9" s="17" t="inlineStr">
        <is>
          <t>DÖNEM ORT.</t>
        </is>
      </c>
      <c r="C9" s="15">
        <f>AVERAGE(C3:C8)</f>
        <v/>
      </c>
      <c r="D9" s="15">
        <f>AVERAGE(D3:D8)</f>
        <v/>
      </c>
      <c r="E9" s="15">
        <f>AVERAGE(E3:E8)</f>
        <v/>
      </c>
      <c r="F9" s="15">
        <f>AVERAGE(F3:F8)</f>
        <v/>
      </c>
      <c r="G9" s="15">
        <f>AVERAGE(G3:G8)</f>
        <v/>
      </c>
      <c r="H9" s="15">
        <f>AVERAGE(H3:H8)</f>
        <v/>
      </c>
      <c r="I9" s="16" t="inlineStr"/>
      <c r="J9" s="16" t="inlineStr"/>
    </row>
    <row r="11" ht="28" customHeight="1">
      <c r="A11" s="18" t="inlineStr">
        <is>
          <t>KAYNAK: Seçmen et al. (2015) Tablo 3.2 | Kısıt 3.5: ΣΣX_ijtp ≤ A_tp (Tren:55k, Kara:35k, Deniz:75k)</t>
        </is>
      </c>
    </row>
  </sheetData>
  <mergeCells count="2">
    <mergeCell ref="A11:K11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8" customHeight="1">
      <c r="A1" s="10" t="inlineStr">
        <is>
          <t>C_ij2p — KARA TAŞIMA MALİYETİ  (Tablo Tablo 3.3, $/birim)</t>
        </is>
      </c>
    </row>
    <row r="2" ht="24" customHeight="1">
      <c r="A2" s="3" t="inlineStr">
        <is>
          <t>#</t>
        </is>
      </c>
      <c r="B2" s="3" t="inlineStr">
        <is>
          <t>Rota (Tedarikçi i → Fabrika j)</t>
        </is>
      </c>
      <c r="C2" s="3" t="inlineStr">
        <is>
          <t>P1</t>
        </is>
      </c>
      <c r="D2" s="3" t="inlineStr">
        <is>
          <t>P2</t>
        </is>
      </c>
      <c r="E2" s="3" t="inlineStr">
        <is>
          <t>P3</t>
        </is>
      </c>
      <c r="F2" s="3" t="inlineStr">
        <is>
          <t>P4</t>
        </is>
      </c>
      <c r="G2" s="3" t="inlineStr">
        <is>
          <t>P5</t>
        </is>
      </c>
      <c r="H2" s="3" t="inlineStr">
        <is>
          <t>P6</t>
        </is>
      </c>
      <c r="I2" s="3" t="inlineStr">
        <is>
          <t>Min</t>
        </is>
      </c>
      <c r="J2" s="3" t="inlineStr">
        <is>
          <t>Ort.</t>
        </is>
      </c>
    </row>
    <row r="3" ht="22" customHeight="1">
      <c r="A3" s="19" t="n">
        <v>1</v>
      </c>
      <c r="B3" s="20" t="inlineStr">
        <is>
          <t>Russia/T1  →  Spain/F1</t>
        </is>
      </c>
      <c r="C3" s="21" t="n">
        <v>2</v>
      </c>
      <c r="D3" s="21" t="n">
        <v>2</v>
      </c>
      <c r="E3" s="21" t="n">
        <v>3</v>
      </c>
      <c r="F3" s="21" t="n">
        <v>2</v>
      </c>
      <c r="G3" s="21" t="n">
        <v>3</v>
      </c>
      <c r="H3" s="21" t="n">
        <v>3</v>
      </c>
      <c r="I3" s="14">
        <f>MIN(C3:H3)</f>
        <v/>
      </c>
      <c r="J3" s="15">
        <f>AVERAGE(C3:H3)</f>
        <v/>
      </c>
    </row>
    <row r="4" ht="22" customHeight="1">
      <c r="A4" s="19" t="n">
        <v>2</v>
      </c>
      <c r="B4" s="20" t="inlineStr">
        <is>
          <t>Russia/T1  →  Russia/F2</t>
        </is>
      </c>
      <c r="C4" s="21" t="n">
        <v>3</v>
      </c>
      <c r="D4" s="21" t="n">
        <v>1</v>
      </c>
      <c r="E4" s="21" t="n">
        <v>3</v>
      </c>
      <c r="F4" s="21" t="n">
        <v>2</v>
      </c>
      <c r="G4" s="21" t="n">
        <v>2</v>
      </c>
      <c r="H4" s="21" t="n">
        <v>3</v>
      </c>
      <c r="I4" s="14">
        <f>MIN(C4:H4)</f>
        <v/>
      </c>
      <c r="J4" s="15">
        <f>AVERAGE(C4:H4)</f>
        <v/>
      </c>
    </row>
    <row r="5" ht="22" customHeight="1">
      <c r="A5" s="19" t="n">
        <v>3</v>
      </c>
      <c r="B5" s="20" t="inlineStr">
        <is>
          <t>Germany/T2  →  Spain/F1</t>
        </is>
      </c>
      <c r="C5" s="21" t="n">
        <v>3</v>
      </c>
      <c r="D5" s="21" t="n">
        <v>3</v>
      </c>
      <c r="E5" s="21" t="n">
        <v>3</v>
      </c>
      <c r="F5" s="21" t="n">
        <v>2</v>
      </c>
      <c r="G5" s="21" t="n">
        <v>3</v>
      </c>
      <c r="H5" s="21" t="n">
        <v>3</v>
      </c>
      <c r="I5" s="14">
        <f>MIN(C5:H5)</f>
        <v/>
      </c>
      <c r="J5" s="15">
        <f>AVERAGE(C5:H5)</f>
        <v/>
      </c>
    </row>
    <row r="6" ht="22" customHeight="1">
      <c r="A6" s="19" t="n">
        <v>4</v>
      </c>
      <c r="B6" s="20" t="inlineStr">
        <is>
          <t>Germany/T2  →  Russia/F2</t>
        </is>
      </c>
      <c r="C6" s="21" t="n">
        <v>1</v>
      </c>
      <c r="D6" s="21" t="n">
        <v>3</v>
      </c>
      <c r="E6" s="21" t="n">
        <v>3</v>
      </c>
      <c r="F6" s="21" t="n">
        <v>4</v>
      </c>
      <c r="G6" s="21" t="n">
        <v>4</v>
      </c>
      <c r="H6" s="21" t="n">
        <v>3</v>
      </c>
      <c r="I6" s="14">
        <f>MIN(C6:H6)</f>
        <v/>
      </c>
      <c r="J6" s="15">
        <f>AVERAGE(C6:H6)</f>
        <v/>
      </c>
    </row>
    <row r="7" ht="22" customHeight="1">
      <c r="A7" s="19" t="n">
        <v>5</v>
      </c>
      <c r="B7" s="20" t="inlineStr">
        <is>
          <t>Norway/T3  →  Spain/F1</t>
        </is>
      </c>
      <c r="C7" s="21" t="n">
        <v>3</v>
      </c>
      <c r="D7" s="21" t="n">
        <v>4</v>
      </c>
      <c r="E7" s="21" t="n">
        <v>3</v>
      </c>
      <c r="F7" s="21" t="n">
        <v>2</v>
      </c>
      <c r="G7" s="21" t="n">
        <v>3</v>
      </c>
      <c r="H7" s="21" t="n">
        <v>3</v>
      </c>
      <c r="I7" s="14">
        <f>MIN(C7:H7)</f>
        <v/>
      </c>
      <c r="J7" s="15">
        <f>AVERAGE(C7:H7)</f>
        <v/>
      </c>
    </row>
    <row r="8" ht="22" customHeight="1">
      <c r="A8" s="19" t="n">
        <v>6</v>
      </c>
      <c r="B8" s="20" t="inlineStr">
        <is>
          <t>Norway/T3  →  Russia/F2</t>
        </is>
      </c>
      <c r="C8" s="21" t="n">
        <v>5</v>
      </c>
      <c r="D8" s="21" t="n">
        <v>4</v>
      </c>
      <c r="E8" s="21" t="n">
        <v>3</v>
      </c>
      <c r="F8" s="21" t="n">
        <v>1</v>
      </c>
      <c r="G8" s="21" t="n">
        <v>1</v>
      </c>
      <c r="H8" s="21" t="n">
        <v>3</v>
      </c>
      <c r="I8" s="14">
        <f>MIN(C8:H8)</f>
        <v/>
      </c>
      <c r="J8" s="15">
        <f>AVERAGE(C8:H8)</f>
        <v/>
      </c>
    </row>
    <row r="9" ht="22" customHeight="1">
      <c r="A9" s="16" t="inlineStr"/>
      <c r="B9" s="17" t="inlineStr">
        <is>
          <t>DÖNEM ORT.</t>
        </is>
      </c>
      <c r="C9" s="15">
        <f>AVERAGE(C3:C8)</f>
        <v/>
      </c>
      <c r="D9" s="15">
        <f>AVERAGE(D3:D8)</f>
        <v/>
      </c>
      <c r="E9" s="15">
        <f>AVERAGE(E3:E8)</f>
        <v/>
      </c>
      <c r="F9" s="15">
        <f>AVERAGE(F3:F8)</f>
        <v/>
      </c>
      <c r="G9" s="15">
        <f>AVERAGE(G3:G8)</f>
        <v/>
      </c>
      <c r="H9" s="15">
        <f>AVERAGE(H3:H8)</f>
        <v/>
      </c>
      <c r="I9" s="16" t="inlineStr"/>
      <c r="J9" s="16" t="inlineStr"/>
    </row>
    <row r="11" ht="28" customHeight="1">
      <c r="A11" s="18" t="inlineStr">
        <is>
          <t>KAYNAK: Seçmen et al. (2015) Tablo 3.3 | Kısıt 3.5: ΣΣX_ijtp ≤ A_tp (Tren:55k, Kara:35k, Deniz:75k)</t>
        </is>
      </c>
    </row>
  </sheetData>
  <mergeCells count="2">
    <mergeCell ref="A11:K11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8" customHeight="1">
      <c r="A1" s="10" t="inlineStr">
        <is>
          <t>C_ij3p — DENIZ TAŞIMA MALİYETİ  (Tablo Tablo 3.4, $/birim)</t>
        </is>
      </c>
    </row>
    <row r="2" ht="24" customHeight="1">
      <c r="A2" s="3" t="inlineStr">
        <is>
          <t>#</t>
        </is>
      </c>
      <c r="B2" s="3" t="inlineStr">
        <is>
          <t>Rota (Tedarikçi i → Fabrika j)</t>
        </is>
      </c>
      <c r="C2" s="3" t="inlineStr">
        <is>
          <t>P1</t>
        </is>
      </c>
      <c r="D2" s="3" t="inlineStr">
        <is>
          <t>P2</t>
        </is>
      </c>
      <c r="E2" s="3" t="inlineStr">
        <is>
          <t>P3</t>
        </is>
      </c>
      <c r="F2" s="3" t="inlineStr">
        <is>
          <t>P4</t>
        </is>
      </c>
      <c r="G2" s="3" t="inlineStr">
        <is>
          <t>P5</t>
        </is>
      </c>
      <c r="H2" s="3" t="inlineStr">
        <is>
          <t>P6</t>
        </is>
      </c>
      <c r="I2" s="3" t="inlineStr">
        <is>
          <t>Min</t>
        </is>
      </c>
      <c r="J2" s="3" t="inlineStr">
        <is>
          <t>Ort.</t>
        </is>
      </c>
    </row>
    <row r="3" ht="22" customHeight="1">
      <c r="A3" s="22" t="n">
        <v>1</v>
      </c>
      <c r="B3" s="23" t="inlineStr">
        <is>
          <t>Russia/T1  →  Spain/F1</t>
        </is>
      </c>
      <c r="C3" s="24" t="n">
        <v>5</v>
      </c>
      <c r="D3" s="24" t="n">
        <v>9</v>
      </c>
      <c r="E3" s="24" t="n">
        <v>8</v>
      </c>
      <c r="F3" s="24" t="n">
        <v>12</v>
      </c>
      <c r="G3" s="24" t="n">
        <v>9</v>
      </c>
      <c r="H3" s="24" t="n">
        <v>5</v>
      </c>
      <c r="I3" s="14">
        <f>MIN(C3:H3)</f>
        <v/>
      </c>
      <c r="J3" s="15">
        <f>AVERAGE(C3:H3)</f>
        <v/>
      </c>
    </row>
    <row r="4" ht="22" customHeight="1">
      <c r="A4" s="22" t="n">
        <v>2</v>
      </c>
      <c r="B4" s="23" t="inlineStr">
        <is>
          <t>Russia/T1  →  Russia/F2</t>
        </is>
      </c>
      <c r="C4" s="24" t="n">
        <v>13</v>
      </c>
      <c r="D4" s="24" t="n">
        <v>11</v>
      </c>
      <c r="E4" s="24" t="n">
        <v>13</v>
      </c>
      <c r="F4" s="24" t="n">
        <v>11</v>
      </c>
      <c r="G4" s="24" t="n">
        <v>7</v>
      </c>
      <c r="H4" s="24" t="n">
        <v>8</v>
      </c>
      <c r="I4" s="14">
        <f>MIN(C4:H4)</f>
        <v/>
      </c>
      <c r="J4" s="15">
        <f>AVERAGE(C4:H4)</f>
        <v/>
      </c>
    </row>
    <row r="5" ht="22" customHeight="1">
      <c r="A5" s="22" t="n">
        <v>3</v>
      </c>
      <c r="B5" s="23" t="inlineStr">
        <is>
          <t>Germany/T2  →  Spain/F1</t>
        </is>
      </c>
      <c r="C5" s="24" t="n">
        <v>8</v>
      </c>
      <c r="D5" s="24" t="n">
        <v>10</v>
      </c>
      <c r="E5" s="24" t="n">
        <v>9</v>
      </c>
      <c r="F5" s="24" t="n">
        <v>14</v>
      </c>
      <c r="G5" s="24" t="n">
        <v>8</v>
      </c>
      <c r="H5" s="24" t="n">
        <v>7</v>
      </c>
      <c r="I5" s="14">
        <f>MIN(C5:H5)</f>
        <v/>
      </c>
      <c r="J5" s="15">
        <f>AVERAGE(C5:H5)</f>
        <v/>
      </c>
    </row>
    <row r="6" ht="22" customHeight="1">
      <c r="A6" s="22" t="n">
        <v>4</v>
      </c>
      <c r="B6" s="23" t="inlineStr">
        <is>
          <t>Germany/T2  →  Russia/F2</t>
        </is>
      </c>
      <c r="C6" s="24" t="n">
        <v>12</v>
      </c>
      <c r="D6" s="24" t="n">
        <v>14</v>
      </c>
      <c r="E6" s="24" t="n">
        <v>11</v>
      </c>
      <c r="F6" s="24" t="n">
        <v>14</v>
      </c>
      <c r="G6" s="24" t="n">
        <v>9</v>
      </c>
      <c r="H6" s="24" t="n">
        <v>9</v>
      </c>
      <c r="I6" s="14">
        <f>MIN(C6:H6)</f>
        <v/>
      </c>
      <c r="J6" s="15">
        <f>AVERAGE(C6:H6)</f>
        <v/>
      </c>
    </row>
    <row r="7" ht="22" customHeight="1">
      <c r="A7" s="22" t="n">
        <v>5</v>
      </c>
      <c r="B7" s="23" t="inlineStr">
        <is>
          <t>Norway/T3  →  Spain/F1</t>
        </is>
      </c>
      <c r="C7" s="24" t="n">
        <v>7</v>
      </c>
      <c r="D7" s="24" t="n">
        <v>11</v>
      </c>
      <c r="E7" s="24" t="n">
        <v>7</v>
      </c>
      <c r="F7" s="24" t="n">
        <v>15</v>
      </c>
      <c r="G7" s="24" t="n">
        <v>6</v>
      </c>
      <c r="H7" s="24" t="n">
        <v>8</v>
      </c>
      <c r="I7" s="14">
        <f>MIN(C7:H7)</f>
        <v/>
      </c>
      <c r="J7" s="15">
        <f>AVERAGE(C7:H7)</f>
        <v/>
      </c>
    </row>
    <row r="8" ht="22" customHeight="1">
      <c r="A8" s="22" t="n">
        <v>6</v>
      </c>
      <c r="B8" s="23" t="inlineStr">
        <is>
          <t>Norway/T3  →  Russia/F2</t>
        </is>
      </c>
      <c r="C8" s="24" t="n">
        <v>9</v>
      </c>
      <c r="D8" s="24" t="n">
        <v>13</v>
      </c>
      <c r="E8" s="24" t="n">
        <v>9</v>
      </c>
      <c r="F8" s="24" t="n">
        <v>11</v>
      </c>
      <c r="G8" s="24" t="n">
        <v>8</v>
      </c>
      <c r="H8" s="24" t="n">
        <v>7</v>
      </c>
      <c r="I8" s="14">
        <f>MIN(C8:H8)</f>
        <v/>
      </c>
      <c r="J8" s="15">
        <f>AVERAGE(C8:H8)</f>
        <v/>
      </c>
    </row>
    <row r="9" ht="22" customHeight="1">
      <c r="A9" s="16" t="inlineStr"/>
      <c r="B9" s="17" t="inlineStr">
        <is>
          <t>DÖNEM ORT.</t>
        </is>
      </c>
      <c r="C9" s="15">
        <f>AVERAGE(C3:C8)</f>
        <v/>
      </c>
      <c r="D9" s="15">
        <f>AVERAGE(D3:D8)</f>
        <v/>
      </c>
      <c r="E9" s="15">
        <f>AVERAGE(E3:E8)</f>
        <v/>
      </c>
      <c r="F9" s="15">
        <f>AVERAGE(F3:F8)</f>
        <v/>
      </c>
      <c r="G9" s="15">
        <f>AVERAGE(G3:G8)</f>
        <v/>
      </c>
      <c r="H9" s="15">
        <f>AVERAGE(H3:H8)</f>
        <v/>
      </c>
      <c r="I9" s="16" t="inlineStr"/>
      <c r="J9" s="16" t="inlineStr"/>
    </row>
    <row r="11" ht="28" customHeight="1">
      <c r="A11" s="18" t="inlineStr">
        <is>
          <t>KAYNAK: Seçmen et al. (2015) Tablo 3.4 | Kısıt 3.5: ΣΣX_ijtp ≤ A_tp (Tren:55k, Kara:35k, Deniz:75k)</t>
        </is>
      </c>
    </row>
  </sheetData>
  <mergeCells count="2">
    <mergeCell ref="A11:K11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8" customHeight="1">
      <c r="A1" s="25" t="inlineStr">
        <is>
          <t>TAM MALİYET MATRİSİ  C_ijtp  —  3 Mod × 6 Rota × 6 Dönem  (Tablo 3.2, 3.3, 3.4)</t>
        </is>
      </c>
    </row>
    <row r="2" ht="18" customHeight="1">
      <c r="A2" s="3" t="inlineStr">
        <is>
          <t>Rota / Mod</t>
        </is>
      </c>
      <c r="B2" s="26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</row>
    <row r="3" ht="24" customHeight="1">
      <c r="A3" s="3" t="inlineStr">
        <is>
          <t>#</t>
        </is>
      </c>
      <c r="B3" s="3" t="inlineStr">
        <is>
          <t>Tedarikçi → Fabrika  |  Mod</t>
        </is>
      </c>
      <c r="C3" s="3" t="inlineStr">
        <is>
          <t>P1</t>
        </is>
      </c>
      <c r="D3" s="3" t="inlineStr">
        <is>
          <t>P2</t>
        </is>
      </c>
      <c r="E3" s="3" t="inlineStr">
        <is>
          <t>P3</t>
        </is>
      </c>
      <c r="F3" s="3" t="inlineStr">
        <is>
          <t>P4</t>
        </is>
      </c>
      <c r="G3" s="3" t="inlineStr">
        <is>
          <t>P5</t>
        </is>
      </c>
      <c r="H3" s="3" t="inlineStr">
        <is>
          <t>P6</t>
        </is>
      </c>
      <c r="I3" s="3" t="inlineStr">
        <is>
          <t>Min</t>
        </is>
      </c>
      <c r="J3" s="3" t="inlineStr">
        <is>
          <t>Tablo</t>
        </is>
      </c>
    </row>
    <row r="4" ht="20" customHeight="1">
      <c r="A4" s="11" t="n">
        <v>1</v>
      </c>
      <c r="B4" s="12" t="inlineStr">
        <is>
          <t>Russia/T1 → Spain/F1  |  Tren</t>
        </is>
      </c>
      <c r="C4" s="13" t="n">
        <v>3</v>
      </c>
      <c r="D4" s="13" t="n">
        <v>4</v>
      </c>
      <c r="E4" s="13" t="n">
        <v>5</v>
      </c>
      <c r="F4" s="13" t="n">
        <v>6</v>
      </c>
      <c r="G4" s="13" t="n">
        <v>5</v>
      </c>
      <c r="H4" s="13" t="n">
        <v>5</v>
      </c>
      <c r="I4" s="14">
        <f>MIN(C4:H4)</f>
        <v/>
      </c>
      <c r="J4" s="28" t="inlineStr">
        <is>
          <t>T3.2</t>
        </is>
      </c>
    </row>
    <row r="5" ht="20" customHeight="1">
      <c r="A5" s="19" t="inlineStr"/>
      <c r="B5" s="20" t="inlineStr">
        <is>
          <t>Russia/T1 → Spain/F1  |  Kara</t>
        </is>
      </c>
      <c r="C5" s="21" t="n">
        <v>2</v>
      </c>
      <c r="D5" s="21" t="n">
        <v>2</v>
      </c>
      <c r="E5" s="21" t="n">
        <v>3</v>
      </c>
      <c r="F5" s="21" t="n">
        <v>2</v>
      </c>
      <c r="G5" s="21" t="n">
        <v>3</v>
      </c>
      <c r="H5" s="21" t="n">
        <v>3</v>
      </c>
      <c r="I5" s="14">
        <f>MIN(C5:H5)</f>
        <v/>
      </c>
      <c r="J5" s="29" t="inlineStr">
        <is>
          <t>T3.3</t>
        </is>
      </c>
    </row>
    <row r="6" ht="20" customHeight="1">
      <c r="A6" s="22" t="inlineStr"/>
      <c r="B6" s="23" t="inlineStr">
        <is>
          <t>Russia/T1 → Spain/F1  |  Deniz</t>
        </is>
      </c>
      <c r="C6" s="24" t="n">
        <v>5</v>
      </c>
      <c r="D6" s="24" t="n">
        <v>9</v>
      </c>
      <c r="E6" s="24" t="n">
        <v>8</v>
      </c>
      <c r="F6" s="24" t="n">
        <v>12</v>
      </c>
      <c r="G6" s="24" t="n">
        <v>9</v>
      </c>
      <c r="H6" s="24" t="n">
        <v>5</v>
      </c>
      <c r="I6" s="14">
        <f>MIN(C6:H6)</f>
        <v/>
      </c>
      <c r="J6" s="30" t="inlineStr">
        <is>
          <t>T3.4</t>
        </is>
      </c>
    </row>
    <row r="7" ht="5" customHeight="1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</row>
    <row r="8" ht="20" customHeight="1">
      <c r="A8" s="11" t="n">
        <v>2</v>
      </c>
      <c r="B8" s="12" t="inlineStr">
        <is>
          <t>Russia/T1 → Russia/F2  |  Tren</t>
        </is>
      </c>
      <c r="C8" s="13" t="n">
        <v>7</v>
      </c>
      <c r="D8" s="13" t="n">
        <v>6</v>
      </c>
      <c r="E8" s="13" t="n">
        <v>3</v>
      </c>
      <c r="F8" s="13" t="n">
        <v>2</v>
      </c>
      <c r="G8" s="13" t="n">
        <v>2</v>
      </c>
      <c r="H8" s="13" t="n">
        <v>3</v>
      </c>
      <c r="I8" s="14">
        <f>MIN(C8:H8)</f>
        <v/>
      </c>
      <c r="J8" s="28" t="inlineStr">
        <is>
          <t>T3.2</t>
        </is>
      </c>
    </row>
    <row r="9" ht="20" customHeight="1">
      <c r="A9" s="19" t="inlineStr"/>
      <c r="B9" s="20" t="inlineStr">
        <is>
          <t>Russia/T1 → Russia/F2  |  Kara</t>
        </is>
      </c>
      <c r="C9" s="21" t="n">
        <v>3</v>
      </c>
      <c r="D9" s="21" t="n">
        <v>1</v>
      </c>
      <c r="E9" s="21" t="n">
        <v>3</v>
      </c>
      <c r="F9" s="21" t="n">
        <v>2</v>
      </c>
      <c r="G9" s="21" t="n">
        <v>2</v>
      </c>
      <c r="H9" s="21" t="n">
        <v>3</v>
      </c>
      <c r="I9" s="14">
        <f>MIN(C9:H9)</f>
        <v/>
      </c>
      <c r="J9" s="29" t="inlineStr">
        <is>
          <t>T3.3</t>
        </is>
      </c>
    </row>
    <row r="10" ht="20" customHeight="1">
      <c r="A10" s="22" t="inlineStr"/>
      <c r="B10" s="23" t="inlineStr">
        <is>
          <t>Russia/T1 → Russia/F2  |  Deniz</t>
        </is>
      </c>
      <c r="C10" s="24" t="n">
        <v>13</v>
      </c>
      <c r="D10" s="24" t="n">
        <v>11</v>
      </c>
      <c r="E10" s="24" t="n">
        <v>13</v>
      </c>
      <c r="F10" s="24" t="n">
        <v>11</v>
      </c>
      <c r="G10" s="24" t="n">
        <v>7</v>
      </c>
      <c r="H10" s="24" t="n">
        <v>8</v>
      </c>
      <c r="I10" s="14">
        <f>MIN(C10:H10)</f>
        <v/>
      </c>
      <c r="J10" s="30" t="inlineStr">
        <is>
          <t>T3.4</t>
        </is>
      </c>
    </row>
    <row r="11" ht="5" customHeight="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</row>
    <row r="12" ht="20" customHeight="1">
      <c r="A12" s="11" t="n">
        <v>3</v>
      </c>
      <c r="B12" s="12" t="inlineStr">
        <is>
          <t>Germany/T2 → Spain/F1  |  Tren</t>
        </is>
      </c>
      <c r="C12" s="13" t="n">
        <v>6</v>
      </c>
      <c r="D12" s="13" t="n">
        <v>7</v>
      </c>
      <c r="E12" s="13" t="n">
        <v>7</v>
      </c>
      <c r="F12" s="13" t="n">
        <v>8</v>
      </c>
      <c r="G12" s="13" t="n">
        <v>7</v>
      </c>
      <c r="H12" s="13" t="n">
        <v>7</v>
      </c>
      <c r="I12" s="14">
        <f>MIN(C12:H12)</f>
        <v/>
      </c>
      <c r="J12" s="28" t="inlineStr">
        <is>
          <t>T3.2</t>
        </is>
      </c>
    </row>
    <row r="13" ht="20" customHeight="1">
      <c r="A13" s="19" t="inlineStr"/>
      <c r="B13" s="20" t="inlineStr">
        <is>
          <t>Germany/T2 → Spain/F1  |  Kara</t>
        </is>
      </c>
      <c r="C13" s="21" t="n">
        <v>3</v>
      </c>
      <c r="D13" s="21" t="n">
        <v>3</v>
      </c>
      <c r="E13" s="21" t="n">
        <v>3</v>
      </c>
      <c r="F13" s="21" t="n">
        <v>2</v>
      </c>
      <c r="G13" s="21" t="n">
        <v>3</v>
      </c>
      <c r="H13" s="21" t="n">
        <v>3</v>
      </c>
      <c r="I13" s="14">
        <f>MIN(C13:H13)</f>
        <v/>
      </c>
      <c r="J13" s="29" t="inlineStr">
        <is>
          <t>T3.3</t>
        </is>
      </c>
    </row>
    <row r="14" ht="20" customHeight="1">
      <c r="A14" s="22" t="inlineStr"/>
      <c r="B14" s="23" t="inlineStr">
        <is>
          <t>Germany/T2 → Spain/F1  |  Deniz</t>
        </is>
      </c>
      <c r="C14" s="24" t="n">
        <v>8</v>
      </c>
      <c r="D14" s="24" t="n">
        <v>10</v>
      </c>
      <c r="E14" s="24" t="n">
        <v>9</v>
      </c>
      <c r="F14" s="24" t="n">
        <v>14</v>
      </c>
      <c r="G14" s="24" t="n">
        <v>8</v>
      </c>
      <c r="H14" s="24" t="n">
        <v>7</v>
      </c>
      <c r="I14" s="14">
        <f>MIN(C14:H14)</f>
        <v/>
      </c>
      <c r="J14" s="30" t="inlineStr">
        <is>
          <t>T3.4</t>
        </is>
      </c>
    </row>
    <row r="15" ht="5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</row>
    <row r="16" ht="20" customHeight="1">
      <c r="A16" s="11" t="n">
        <v>4</v>
      </c>
      <c r="B16" s="12" t="inlineStr">
        <is>
          <t>Germany/T2 → Russia/F2  |  Tren</t>
        </is>
      </c>
      <c r="C16" s="13" t="n">
        <v>3</v>
      </c>
      <c r="D16" s="13" t="n">
        <v>5</v>
      </c>
      <c r="E16" s="13" t="n">
        <v>9</v>
      </c>
      <c r="F16" s="13" t="n">
        <v>6</v>
      </c>
      <c r="G16" s="13" t="n">
        <v>6</v>
      </c>
      <c r="H16" s="13" t="n">
        <v>9</v>
      </c>
      <c r="I16" s="14">
        <f>MIN(C16:H16)</f>
        <v/>
      </c>
      <c r="J16" s="28" t="inlineStr">
        <is>
          <t>T3.2</t>
        </is>
      </c>
    </row>
    <row r="17" ht="20" customHeight="1">
      <c r="A17" s="19" t="inlineStr"/>
      <c r="B17" s="20" t="inlineStr">
        <is>
          <t>Germany/T2 → Russia/F2  |  Kara</t>
        </is>
      </c>
      <c r="C17" s="21" t="n">
        <v>1</v>
      </c>
      <c r="D17" s="21" t="n">
        <v>3</v>
      </c>
      <c r="E17" s="21" t="n">
        <v>3</v>
      </c>
      <c r="F17" s="21" t="n">
        <v>4</v>
      </c>
      <c r="G17" s="21" t="n">
        <v>4</v>
      </c>
      <c r="H17" s="21" t="n">
        <v>3</v>
      </c>
      <c r="I17" s="14">
        <f>MIN(C17:H17)</f>
        <v/>
      </c>
      <c r="J17" s="29" t="inlineStr">
        <is>
          <t>T3.3</t>
        </is>
      </c>
    </row>
    <row r="18" ht="20" customHeight="1">
      <c r="A18" s="22" t="inlineStr"/>
      <c r="B18" s="23" t="inlineStr">
        <is>
          <t>Germany/T2 → Russia/F2  |  Deniz</t>
        </is>
      </c>
      <c r="C18" s="24" t="n">
        <v>12</v>
      </c>
      <c r="D18" s="24" t="n">
        <v>14</v>
      </c>
      <c r="E18" s="24" t="n">
        <v>11</v>
      </c>
      <c r="F18" s="24" t="n">
        <v>14</v>
      </c>
      <c r="G18" s="24" t="n">
        <v>9</v>
      </c>
      <c r="H18" s="24" t="n">
        <v>9</v>
      </c>
      <c r="I18" s="14">
        <f>MIN(C18:H18)</f>
        <v/>
      </c>
      <c r="J18" s="30" t="inlineStr">
        <is>
          <t>T3.4</t>
        </is>
      </c>
    </row>
    <row r="19" ht="5" customHeight="1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</row>
    <row r="20" ht="20" customHeight="1">
      <c r="A20" s="11" t="n">
        <v>5</v>
      </c>
      <c r="B20" s="12" t="inlineStr">
        <is>
          <t>Norway/T3 → Spain/F1  |  Tren</t>
        </is>
      </c>
      <c r="C20" s="13" t="n">
        <v>4</v>
      </c>
      <c r="D20" s="13" t="n">
        <v>6</v>
      </c>
      <c r="E20" s="13" t="n">
        <v>3</v>
      </c>
      <c r="F20" s="13" t="n">
        <v>6</v>
      </c>
      <c r="G20" s="13" t="n">
        <v>3</v>
      </c>
      <c r="H20" s="13" t="n">
        <v>3</v>
      </c>
      <c r="I20" s="14">
        <f>MIN(C20:H20)</f>
        <v/>
      </c>
      <c r="J20" s="28" t="inlineStr">
        <is>
          <t>T3.2</t>
        </is>
      </c>
    </row>
    <row r="21" ht="20" customHeight="1">
      <c r="A21" s="19" t="inlineStr"/>
      <c r="B21" s="20" t="inlineStr">
        <is>
          <t>Norway/T3 → Spain/F1  |  Kara</t>
        </is>
      </c>
      <c r="C21" s="21" t="n">
        <v>3</v>
      </c>
      <c r="D21" s="21" t="n">
        <v>4</v>
      </c>
      <c r="E21" s="21" t="n">
        <v>3</v>
      </c>
      <c r="F21" s="21" t="n">
        <v>2</v>
      </c>
      <c r="G21" s="21" t="n">
        <v>3</v>
      </c>
      <c r="H21" s="21" t="n">
        <v>3</v>
      </c>
      <c r="I21" s="14">
        <f>MIN(C21:H21)</f>
        <v/>
      </c>
      <c r="J21" s="29" t="inlineStr">
        <is>
          <t>T3.3</t>
        </is>
      </c>
    </row>
    <row r="22" ht="20" customHeight="1">
      <c r="A22" s="22" t="inlineStr"/>
      <c r="B22" s="23" t="inlineStr">
        <is>
          <t>Norway/T3 → Spain/F1  |  Deniz</t>
        </is>
      </c>
      <c r="C22" s="24" t="n">
        <v>7</v>
      </c>
      <c r="D22" s="24" t="n">
        <v>11</v>
      </c>
      <c r="E22" s="24" t="n">
        <v>7</v>
      </c>
      <c r="F22" s="24" t="n">
        <v>15</v>
      </c>
      <c r="G22" s="24" t="n">
        <v>6</v>
      </c>
      <c r="H22" s="24" t="n">
        <v>8</v>
      </c>
      <c r="I22" s="14">
        <f>MIN(C22:H22)</f>
        <v/>
      </c>
      <c r="J22" s="30" t="inlineStr">
        <is>
          <t>T3.4</t>
        </is>
      </c>
    </row>
    <row r="23" ht="5" customHeight="1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</row>
    <row r="24" ht="20" customHeight="1">
      <c r="A24" s="11" t="n">
        <v>6</v>
      </c>
      <c r="B24" s="12" t="inlineStr">
        <is>
          <t>Norway/T3 → Russia/F2  |  Tren</t>
        </is>
      </c>
      <c r="C24" s="13" t="n">
        <v>6</v>
      </c>
      <c r="D24" s="13" t="n">
        <v>6</v>
      </c>
      <c r="E24" s="13" t="n">
        <v>7</v>
      </c>
      <c r="F24" s="13" t="n">
        <v>5</v>
      </c>
      <c r="G24" s="13" t="n">
        <v>5</v>
      </c>
      <c r="H24" s="13" t="n">
        <v>7</v>
      </c>
      <c r="I24" s="14">
        <f>MIN(C24:H24)</f>
        <v/>
      </c>
      <c r="J24" s="28" t="inlineStr">
        <is>
          <t>T3.2</t>
        </is>
      </c>
    </row>
    <row r="25" ht="20" customHeight="1">
      <c r="A25" s="19" t="inlineStr"/>
      <c r="B25" s="20" t="inlineStr">
        <is>
          <t>Norway/T3 → Russia/F2  |  Kara</t>
        </is>
      </c>
      <c r="C25" s="21" t="n">
        <v>5</v>
      </c>
      <c r="D25" s="21" t="n">
        <v>4</v>
      </c>
      <c r="E25" s="21" t="n">
        <v>3</v>
      </c>
      <c r="F25" s="21" t="n">
        <v>1</v>
      </c>
      <c r="G25" s="21" t="n">
        <v>1</v>
      </c>
      <c r="H25" s="21" t="n">
        <v>3</v>
      </c>
      <c r="I25" s="14">
        <f>MIN(C25:H25)</f>
        <v/>
      </c>
      <c r="J25" s="29" t="inlineStr">
        <is>
          <t>T3.3</t>
        </is>
      </c>
    </row>
    <row r="26" ht="20" customHeight="1">
      <c r="A26" s="22" t="inlineStr"/>
      <c r="B26" s="23" t="inlineStr">
        <is>
          <t>Norway/T3 → Russia/F2  |  Deniz</t>
        </is>
      </c>
      <c r="C26" s="24" t="n">
        <v>9</v>
      </c>
      <c r="D26" s="24" t="n">
        <v>13</v>
      </c>
      <c r="E26" s="24" t="n">
        <v>9</v>
      </c>
      <c r="F26" s="24" t="n">
        <v>11</v>
      </c>
      <c r="G26" s="24" t="n">
        <v>8</v>
      </c>
      <c r="H26" s="24" t="n">
        <v>7</v>
      </c>
      <c r="I26" s="14">
        <f>MIN(C26:H26)</f>
        <v/>
      </c>
      <c r="J26" s="30" t="inlineStr">
        <is>
          <t>T3.4</t>
        </is>
      </c>
    </row>
    <row r="27" ht="5" customHeight="1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</row>
    <row r="29" ht="28" customHeight="1">
      <c r="A29" s="18" t="inlineStr">
        <is>
          <t>RENK: Yeşil=Tren (Tablo 3.2) | Sarı=Kara (Tablo 3.3) | Turuncu=Deniz (Tablo 3.4) | Sütun 'Min': MIN(P1:P6) | Kara yolu her rotada en düşük birim maliyete sahiptir.</t>
        </is>
      </c>
    </row>
  </sheetData>
  <mergeCells count="3">
    <mergeCell ref="A1:K1"/>
    <mergeCell ref="A2:B2"/>
    <mergeCell ref="A29:K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8" customWidth="1" min="9" max="9"/>
  </cols>
  <sheetData>
    <row r="1" ht="28" customHeight="1">
      <c r="A1" s="25" t="inlineStr">
        <is>
          <t>AMAÇ FONKSİYONU KATSAYI DOĞRULAMASI  —  C_ijtp + π × N_ijtp  (seçili değişkenler)</t>
        </is>
      </c>
    </row>
    <row r="2" ht="24" customHeight="1">
      <c r="A2" s="3" t="inlineStr">
        <is>
          <t>#</t>
        </is>
      </c>
      <c r="B2" s="3" t="inlineStr">
        <is>
          <t>Değişken X_ijtp</t>
        </is>
      </c>
      <c r="C2" s="3" t="inlineStr">
        <is>
          <t>C_ijtp</t>
        </is>
      </c>
      <c r="D2" s="3" t="inlineStr">
        <is>
          <t>N_ijtp</t>
        </is>
      </c>
      <c r="E2" s="3" t="inlineStr">
        <is>
          <t>π × N</t>
        </is>
      </c>
      <c r="F2" s="3" t="inlineStr">
        <is>
          <t>C + π×N</t>
        </is>
      </c>
      <c r="G2" s="3" t="inlineStr">
        <is>
          <t>Obj.F. Katsayısı</t>
        </is>
      </c>
      <c r="H2" s="3" t="inlineStr">
        <is>
          <t>Uyum?</t>
        </is>
      </c>
      <c r="I2" s="3" t="inlineStr">
        <is>
          <t>Kaynak</t>
        </is>
      </c>
    </row>
    <row r="3" ht="22" customHeight="1">
      <c r="A3" s="4" t="n">
        <v>1</v>
      </c>
      <c r="B3" s="5" t="inlineStr">
        <is>
          <t>X_1111 (Russia→Spain, Tren, P1)</t>
        </is>
      </c>
      <c r="C3" s="31" t="n">
        <v>3</v>
      </c>
      <c r="D3" s="31" t="n">
        <v>48</v>
      </c>
      <c r="E3" s="31" t="n">
        <v>0.1</v>
      </c>
      <c r="F3" s="32">
        <f>C3+D3*E3</f>
        <v/>
      </c>
      <c r="G3" s="5" t="inlineStr">
        <is>
          <t>3+4.8=7.8</t>
        </is>
      </c>
      <c r="H3" s="33" t="inlineStr">
        <is>
          <t>✓</t>
        </is>
      </c>
      <c r="I3" s="34" t="inlineStr">
        <is>
          <t>T3.2+T3.1</t>
        </is>
      </c>
    </row>
    <row r="4" ht="22" customHeight="1">
      <c r="A4" s="7" t="n">
        <v>2</v>
      </c>
      <c r="B4" s="8" t="inlineStr">
        <is>
          <t>X_1112 (Russia→Spain, Tren, P2)</t>
        </is>
      </c>
      <c r="C4" s="35" t="n">
        <v>4</v>
      </c>
      <c r="D4" s="35" t="n">
        <v>72</v>
      </c>
      <c r="E4" s="35" t="n">
        <v>0.1</v>
      </c>
      <c r="F4" s="36">
        <f>C4+D4*E4</f>
        <v/>
      </c>
      <c r="G4" s="8" t="inlineStr">
        <is>
          <t>4+7.2=11.2</t>
        </is>
      </c>
      <c r="H4" s="37" t="inlineStr">
        <is>
          <t>✓</t>
        </is>
      </c>
      <c r="I4" s="38" t="inlineStr">
        <is>
          <t>T3.2+T3.1</t>
        </is>
      </c>
    </row>
    <row r="5" ht="22" customHeight="1">
      <c r="A5" s="4" t="n">
        <v>3</v>
      </c>
      <c r="B5" s="5" t="inlineStr">
        <is>
          <t>X_1131 (Russia→Spain, Deniz,P1)</t>
        </is>
      </c>
      <c r="C5" s="31" t="n">
        <v>5</v>
      </c>
      <c r="D5" s="31" t="n">
        <v>192</v>
      </c>
      <c r="E5" s="31" t="n">
        <v>0.1</v>
      </c>
      <c r="F5" s="32">
        <f>C5+D5*E5</f>
        <v/>
      </c>
      <c r="G5" s="5" t="inlineStr">
        <is>
          <t>5+19.2=24.2</t>
        </is>
      </c>
      <c r="H5" s="33" t="inlineStr">
        <is>
          <t>✓</t>
        </is>
      </c>
      <c r="I5" s="34" t="inlineStr">
        <is>
          <t>T3.4+T3.1</t>
        </is>
      </c>
    </row>
    <row r="6" ht="22" customHeight="1">
      <c r="A6" s="7" t="n">
        <v>4</v>
      </c>
      <c r="B6" s="8" t="inlineStr">
        <is>
          <t>X_1132 (Russia→Spain, Deniz,P2)</t>
        </is>
      </c>
      <c r="C6" s="35" t="n">
        <v>9</v>
      </c>
      <c r="D6" s="35" t="n">
        <v>240</v>
      </c>
      <c r="E6" s="35" t="n">
        <v>0.1</v>
      </c>
      <c r="F6" s="36">
        <f>C6+D6*E6</f>
        <v/>
      </c>
      <c r="G6" s="8" t="inlineStr">
        <is>
          <t>9+24.0=33.0</t>
        </is>
      </c>
      <c r="H6" s="37" t="inlineStr">
        <is>
          <t>✓</t>
        </is>
      </c>
      <c r="I6" s="38" t="inlineStr">
        <is>
          <t>T3.4+T3.1</t>
        </is>
      </c>
    </row>
    <row r="7" ht="22" customHeight="1">
      <c r="A7" s="4" t="n">
        <v>5</v>
      </c>
      <c r="B7" s="5" t="inlineStr">
        <is>
          <t>X_2111 (Germany→Spain,Tren, P1)</t>
        </is>
      </c>
      <c r="C7" s="31" t="n">
        <v>6</v>
      </c>
      <c r="D7" s="31" t="n">
        <v>70</v>
      </c>
      <c r="E7" s="31" t="n">
        <v>0.1</v>
      </c>
      <c r="F7" s="32">
        <f>C7+D7*E7</f>
        <v/>
      </c>
      <c r="G7" s="5" t="inlineStr">
        <is>
          <t>6+7.0=13.0</t>
        </is>
      </c>
      <c r="H7" s="33" t="inlineStr">
        <is>
          <t>✓</t>
        </is>
      </c>
      <c r="I7" s="34" t="inlineStr">
        <is>
          <t>T3.2+T3.1</t>
        </is>
      </c>
    </row>
    <row r="8" ht="22" customHeight="1">
      <c r="A8" s="7" t="n">
        <v>6</v>
      </c>
      <c r="B8" s="8" t="inlineStr">
        <is>
          <t>X_2131 (Germany→Spain,Deniz,P1)</t>
        </is>
      </c>
      <c r="C8" s="35" t="n">
        <v>8</v>
      </c>
      <c r="D8" s="35" t="n">
        <v>180</v>
      </c>
      <c r="E8" s="35" t="n">
        <v>0.1</v>
      </c>
      <c r="F8" s="36">
        <f>C8+D8*E8</f>
        <v/>
      </c>
      <c r="G8" s="8" t="inlineStr">
        <is>
          <t>8+18.0=26.0</t>
        </is>
      </c>
      <c r="H8" s="37" t="inlineStr">
        <is>
          <t>✓</t>
        </is>
      </c>
      <c r="I8" s="38" t="inlineStr">
        <is>
          <t>T3.4+T3.1</t>
        </is>
      </c>
    </row>
    <row r="9" ht="22" customHeight="1">
      <c r="A9" s="4" t="n">
        <v>7</v>
      </c>
      <c r="B9" s="5" t="inlineStr">
        <is>
          <t>X_3111 (Norway→Spain, Tren, P1)</t>
        </is>
      </c>
      <c r="C9" s="31" t="n">
        <v>4</v>
      </c>
      <c r="D9" s="31" t="n">
        <v>100</v>
      </c>
      <c r="E9" s="31" t="n">
        <v>0.1</v>
      </c>
      <c r="F9" s="32">
        <f>C9+D9*E9</f>
        <v/>
      </c>
      <c r="G9" s="5" t="inlineStr">
        <is>
          <t>4+10.0=14.0</t>
        </is>
      </c>
      <c r="H9" s="33" t="inlineStr">
        <is>
          <t>✓</t>
        </is>
      </c>
      <c r="I9" s="34" t="inlineStr">
        <is>
          <t>T3.2+T3.1</t>
        </is>
      </c>
    </row>
    <row r="10" ht="22" customHeight="1">
      <c r="A10" s="7" t="n">
        <v>8</v>
      </c>
      <c r="B10" s="8" t="inlineStr">
        <is>
          <t>X_3121 (Norway→Spain, Kara, P1)</t>
        </is>
      </c>
      <c r="C10" s="35" t="n">
        <v>3</v>
      </c>
      <c r="D10" s="35" t="n">
        <v>0</v>
      </c>
      <c r="E10" s="35" t="n">
        <v>0.1</v>
      </c>
      <c r="F10" s="36">
        <f>C10+D10*E10</f>
        <v/>
      </c>
      <c r="G10" s="8" t="inlineStr">
        <is>
          <t>3+0.0=3.0</t>
        </is>
      </c>
      <c r="H10" s="37" t="inlineStr">
        <is>
          <t>✓</t>
        </is>
      </c>
      <c r="I10" s="38" t="inlineStr">
        <is>
          <t>T3.3+T3.1</t>
        </is>
      </c>
    </row>
    <row r="11" ht="22" customHeight="1">
      <c r="A11" s="4" t="n">
        <v>9</v>
      </c>
      <c r="B11" s="5" t="inlineStr">
        <is>
          <t>X_3131 (Norway→Spain, Deniz,P1)</t>
        </is>
      </c>
      <c r="C11" s="31" t="n">
        <v>7</v>
      </c>
      <c r="D11" s="31" t="n">
        <v>180</v>
      </c>
      <c r="E11" s="31" t="n">
        <v>0.1</v>
      </c>
      <c r="F11" s="32">
        <f>C11+D11*E11</f>
        <v/>
      </c>
      <c r="G11" s="5" t="inlineStr">
        <is>
          <t>7+18.0=25.0</t>
        </is>
      </c>
      <c r="H11" s="33" t="inlineStr">
        <is>
          <t>✓</t>
        </is>
      </c>
      <c r="I11" s="34" t="inlineStr">
        <is>
          <t>T3.4+T3.1</t>
        </is>
      </c>
    </row>
    <row r="12" ht="22" customHeight="1">
      <c r="A12" s="7" t="n">
        <v>10</v>
      </c>
      <c r="B12" s="8" t="inlineStr">
        <is>
          <t>X_3231 (Norway→Russia,Deniz,P1)</t>
        </is>
      </c>
      <c r="C12" s="35" t="n">
        <v>9</v>
      </c>
      <c r="D12" s="35" t="n">
        <v>190</v>
      </c>
      <c r="E12" s="35" t="n">
        <v>0.1</v>
      </c>
      <c r="F12" s="36">
        <f>C12+D12*E12</f>
        <v/>
      </c>
      <c r="G12" s="8" t="inlineStr">
        <is>
          <t>9+19.0=28.0</t>
        </is>
      </c>
      <c r="H12" s="37" t="inlineStr">
        <is>
          <t>✓</t>
        </is>
      </c>
      <c r="I12" s="38" t="inlineStr">
        <is>
          <t>T3.4+T3.1</t>
        </is>
      </c>
    </row>
    <row r="14" ht="35" customHeight="1">
      <c r="A14" s="18" t="inlineStr">
        <is>
          <t>SONUÇ: π = 0.10 $/birim/saat. Tüm doğrulanan katsayılar amaç fonksiyonu ile tam uyumludur. Kara yolu (t=2) için N_ijtp=0 olduğundan fırsat maliyeti sıfırdır. Formül: Katsayı_obj = C_ijtp + π × N_ijtp</t>
        </is>
      </c>
    </row>
  </sheetData>
  <mergeCells count="2">
    <mergeCell ref="A1:I1"/>
    <mergeCell ref="A14:I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2026-03-10T12:48:42Z</dcterms:created>
  <dcterms:modified xmlns:dcterms="http://purl.org/dc/terms/" xmlns:xsi="http://www.w3.org/2001/XMLSchema-instance" xsi:type="dcterms:W3CDTF">2026-03-10T12:48:42Z</dcterms:modified>
</cp:coreProperties>
</file>