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TS" sheetId="2" state="visible" r:id="rId2"/>
    <sheet xmlns:r="http://schemas.openxmlformats.org/officeDocument/2006/relationships" name="SUPPLIER_CAP" sheetId="3" state="visible" r:id="rId3"/>
    <sheet xmlns:r="http://schemas.openxmlformats.org/officeDocument/2006/relationships" name="FACTORY_CAP" sheetId="4" state="visible" r:id="rId4"/>
    <sheet xmlns:r="http://schemas.openxmlformats.org/officeDocument/2006/relationships" name="DC_CAP" sheetId="5" state="visible" r:id="rId5"/>
    <sheet xmlns:r="http://schemas.openxmlformats.org/officeDocument/2006/relationships" name="DEMAND" sheetId="6" state="visible" r:id="rId6"/>
    <sheet xmlns:r="http://schemas.openxmlformats.org/officeDocument/2006/relationships" name="MODE_CAP" sheetId="7" state="visible" r:id="rId7"/>
    <sheet xmlns:r="http://schemas.openxmlformats.org/officeDocument/2006/relationships" name="LEAD_TIMES" sheetId="8" state="visible" r:id="rId8"/>
    <sheet xmlns:r="http://schemas.openxmlformats.org/officeDocument/2006/relationships" name="COST_PARAMS" sheetId="9" state="visible" r:id="rId9"/>
    <sheet xmlns:r="http://schemas.openxmlformats.org/officeDocument/2006/relationships" name="SCALAR_PARA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D0D0D"/>
      <sz val="10"/>
    </font>
    <font>
      <name val="Arial"/>
      <color rgb="000000FF"/>
      <sz val="10"/>
    </font>
    <font>
      <name val="Arial"/>
      <b val="1"/>
      <color rgb="00FFFFFF"/>
      <sz val="12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5" fillId="4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58" customWidth="1" min="3" max="3"/>
    <col width="18" customWidth="1" min="4" max="4"/>
  </cols>
  <sheetData>
    <row r="1" ht="36" customHeight="1">
      <c r="A1" s="1" t="inlineStr">
        <is>
          <t>DAĞITIM AĞI TASARIMI — MODEL PARAMETRELERİ (parameters.xlsx)</t>
        </is>
      </c>
    </row>
    <row r="2" ht="20" customHeight="1">
      <c r="A2" s="2" t="inlineStr">
        <is>
          <t>Seçmen, Öncan &amp; Tuna · Beykoz Akademi 2015 · Tablo 3.1–3.6 tam verileri  |  π=0.10 · Sm=Q0=40,000 · Fj=1 · Gk=2</t>
        </is>
      </c>
    </row>
    <row r="4" ht="24" customHeight="1">
      <c r="A4" s="3" t="inlineStr">
        <is>
          <t>#</t>
        </is>
      </c>
      <c r="B4" s="3" t="inlineStr">
        <is>
          <t>Sayfa</t>
        </is>
      </c>
      <c r="C4" s="3" t="inlineStr">
        <is>
          <t>İçerik / Tablo Referansı</t>
        </is>
      </c>
      <c r="D4" s="3" t="inlineStr">
        <is>
          <t>Sembol</t>
        </is>
      </c>
    </row>
    <row r="5" ht="20" customHeight="1">
      <c r="A5" s="4" t="n">
        <v>1</v>
      </c>
      <c r="B5" s="4" t="inlineStr">
        <is>
          <t>SETS</t>
        </is>
      </c>
      <c r="C5" s="5" t="inlineStr">
        <is>
          <t>Küme tanımları — i,j,k,t,p indeksleri ve elemanları</t>
        </is>
      </c>
      <c r="D5" s="6" t="inlineStr">
        <is>
          <t>—</t>
        </is>
      </c>
    </row>
    <row r="6" ht="20" customHeight="1">
      <c r="A6" s="7" t="n">
        <v>2</v>
      </c>
      <c r="B6" s="7" t="inlineStr">
        <is>
          <t>SUPPLIER_CAP</t>
        </is>
      </c>
      <c r="C6" s="8" t="inlineStr">
        <is>
          <t>Tedarikçi kapasitesi  (Tablo 3.6)</t>
        </is>
      </c>
      <c r="D6" s="9" t="inlineStr">
        <is>
          <t>α_ip</t>
        </is>
      </c>
    </row>
    <row r="7" ht="20" customHeight="1">
      <c r="A7" s="4" t="n">
        <v>3</v>
      </c>
      <c r="B7" s="4" t="inlineStr">
        <is>
          <t>FACTORY_CAP</t>
        </is>
      </c>
      <c r="C7" s="5" t="inlineStr">
        <is>
          <t>Fabrika kapasitesi    (Tablo 3.6)</t>
        </is>
      </c>
      <c r="D7" s="6" t="inlineStr">
        <is>
          <t>b_jp</t>
        </is>
      </c>
    </row>
    <row r="8" ht="20" customHeight="1">
      <c r="A8" s="7" t="n">
        <v>4</v>
      </c>
      <c r="B8" s="7" t="inlineStr">
        <is>
          <t>DC_CAP</t>
        </is>
      </c>
      <c r="C8" s="8" t="inlineStr">
        <is>
          <t>Dağıtım merkezi kapasitesi  (Tablo 3.6)</t>
        </is>
      </c>
      <c r="D8" s="9" t="inlineStr">
        <is>
          <t>c_p</t>
        </is>
      </c>
    </row>
    <row r="9" ht="20" customHeight="1">
      <c r="A9" s="4" t="n">
        <v>5</v>
      </c>
      <c r="B9" s="4" t="inlineStr">
        <is>
          <t>DEMAND</t>
        </is>
      </c>
      <c r="C9" s="5" t="inlineStr">
        <is>
          <t>Müşteri talepleri     (Tablo 3.6)</t>
        </is>
      </c>
      <c r="D9" s="6" t="inlineStr">
        <is>
          <t>d_kp</t>
        </is>
      </c>
    </row>
    <row r="10" ht="20" customHeight="1">
      <c r="A10" s="7" t="n">
        <v>6</v>
      </c>
      <c r="B10" s="7" t="inlineStr">
        <is>
          <t>MODE_CAP</t>
        </is>
      </c>
      <c r="C10" s="8" t="inlineStr">
        <is>
          <t>Taşıma modu kapasiteleri  (Tablo 3.6)</t>
        </is>
      </c>
      <c r="D10" s="9" t="inlineStr">
        <is>
          <t>A_tp</t>
        </is>
      </c>
    </row>
    <row r="11" ht="20" customHeight="1">
      <c r="A11" s="4" t="n">
        <v>7</v>
      </c>
      <c r="B11" s="4" t="inlineStr">
        <is>
          <t>LEAD_TIMES</t>
        </is>
      </c>
      <c r="C11" s="5" t="inlineStr">
        <is>
          <t>Ulaştırma süreleri β ve fırsat kaybı N  (Tablo 3.1)</t>
        </is>
      </c>
      <c r="D11" s="6" t="inlineStr">
        <is>
          <t>β_ijtp / N_ijtp</t>
        </is>
      </c>
    </row>
    <row r="12" ht="20" customHeight="1">
      <c r="A12" s="7" t="n">
        <v>8</v>
      </c>
      <c r="B12" s="7" t="inlineStr">
        <is>
          <t>COST_PARAMS</t>
        </is>
      </c>
      <c r="C12" s="8" t="inlineStr">
        <is>
          <t>DC taşıma, elde tutma R, yok satma T  (Tablo 3.5)</t>
        </is>
      </c>
      <c r="D12" s="9" t="inlineStr">
        <is>
          <t>C_jp / C_kp / R / T</t>
        </is>
      </c>
    </row>
    <row r="13" ht="20" customHeight="1">
      <c r="A13" s="4" t="n">
        <v>9</v>
      </c>
      <c r="B13" s="4" t="inlineStr">
        <is>
          <t>SCALAR_PARAMS</t>
        </is>
      </c>
      <c r="C13" s="5" t="inlineStr">
        <is>
          <t>Skaler parametreler: π, Sm, Fj, Gk, Q0</t>
        </is>
      </c>
      <c r="D13" s="6" t="inlineStr">
        <is>
          <t>π / Sm / Fj / Gk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4" customWidth="1" min="4" max="4"/>
    <col width="50" customWidth="1" min="5" max="5"/>
  </cols>
  <sheetData>
    <row r="1" ht="28" customHeight="1">
      <c r="A1" s="10" t="inlineStr">
        <is>
          <t>MODEL KÜMELERİ — İndeks ve Eleman Tanımları</t>
        </is>
      </c>
    </row>
    <row r="2" ht="24" customHeight="1">
      <c r="A2" s="3" t="inlineStr">
        <is>
          <t>#</t>
        </is>
      </c>
      <c r="B2" s="3" t="inlineStr">
        <is>
          <t>Küme</t>
        </is>
      </c>
      <c r="C2" s="3" t="inlineStr">
        <is>
          <t>Sembol</t>
        </is>
      </c>
      <c r="D2" s="3" t="inlineStr">
        <is>
          <t>Kardinalite</t>
        </is>
      </c>
      <c r="E2" s="3" t="inlineStr">
        <is>
          <t>Elemanlar</t>
        </is>
      </c>
    </row>
    <row r="3" ht="22" customHeight="1">
      <c r="A3" s="4" t="n">
        <v>1</v>
      </c>
      <c r="B3" s="5" t="inlineStr">
        <is>
          <t>Tedarikçiler</t>
        </is>
      </c>
      <c r="C3" s="6" t="inlineStr">
        <is>
          <t>i ∈ I</t>
        </is>
      </c>
      <c r="D3" s="6" t="n">
        <v>3</v>
      </c>
      <c r="E3" s="5" t="inlineStr">
        <is>
          <t>Russia/T1 (i=1), Germany/T2 (i=2), Norway/T3 (i=3)</t>
        </is>
      </c>
    </row>
    <row r="4" ht="22" customHeight="1">
      <c r="A4" s="7" t="n">
        <v>2</v>
      </c>
      <c r="B4" s="8" t="inlineStr">
        <is>
          <t>Fabrikalar</t>
        </is>
      </c>
      <c r="C4" s="9" t="inlineStr">
        <is>
          <t>j ∈ J</t>
        </is>
      </c>
      <c r="D4" s="9" t="n">
        <v>2</v>
      </c>
      <c r="E4" s="8" t="inlineStr">
        <is>
          <t>Spain/F1 (j=1), Russia/F2 (j=2)</t>
        </is>
      </c>
    </row>
    <row r="5" ht="22" customHeight="1">
      <c r="A5" s="4" t="n">
        <v>3</v>
      </c>
      <c r="B5" s="5" t="inlineStr">
        <is>
          <t>Dağıtım Merkezi</t>
        </is>
      </c>
      <c r="C5" s="6" t="inlineStr">
        <is>
          <t>—</t>
        </is>
      </c>
      <c r="D5" s="6" t="n">
        <v>1</v>
      </c>
      <c r="E5" s="5" t="inlineStr">
        <is>
          <t>Ukraine / DM — tek DC</t>
        </is>
      </c>
    </row>
    <row r="6" ht="22" customHeight="1">
      <c r="A6" s="7" t="n">
        <v>4</v>
      </c>
      <c r="B6" s="8" t="inlineStr">
        <is>
          <t>Pazarlar/Müşteriler</t>
        </is>
      </c>
      <c r="C6" s="9" t="inlineStr">
        <is>
          <t>k ∈ K</t>
        </is>
      </c>
      <c r="D6" s="9" t="n">
        <v>3</v>
      </c>
      <c r="E6" s="8" t="inlineStr">
        <is>
          <t>Finland/M1 (k=1), Türkiye/M2 (k=2), Russia/M3 (k=3)</t>
        </is>
      </c>
    </row>
    <row r="7" ht="22" customHeight="1">
      <c r="A7" s="4" t="n">
        <v>5</v>
      </c>
      <c r="B7" s="5" t="inlineStr">
        <is>
          <t>Taşıma Modları</t>
        </is>
      </c>
      <c r="C7" s="6" t="inlineStr">
        <is>
          <t>t ∈ T</t>
        </is>
      </c>
      <c r="D7" s="6" t="n">
        <v>3</v>
      </c>
      <c r="E7" s="5" t="inlineStr">
        <is>
          <t>Tren (t=1), Kara (t=2), Deniz (t=3)</t>
        </is>
      </c>
    </row>
    <row r="8" ht="22" customHeight="1">
      <c r="A8" s="7" t="n">
        <v>6</v>
      </c>
      <c r="B8" s="8" t="inlineStr">
        <is>
          <t>Dönemler</t>
        </is>
      </c>
      <c r="C8" s="9" t="inlineStr">
        <is>
          <t>p ∈ P</t>
        </is>
      </c>
      <c r="D8" s="9" t="n">
        <v>6</v>
      </c>
      <c r="E8" s="8" t="inlineStr">
        <is>
          <t>P1, P2, P3, P4, P5, P6 (aylık planlama ufku)</t>
        </is>
      </c>
    </row>
    <row r="10" ht="32" customHeight="1">
      <c r="A10" s="11" t="inlineStr">
        <is>
          <t>KARAR DEĞİŞKENLERİ: X_ijtp (Ted→Fab, adet) | W_jp (Fab→DC) | Y_kp (DC→Müşt) | B_kp (karşılanmayan talep) | Q_p (dönem sonu DC stoku)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10" t="inlineStr">
        <is>
          <t>TEDARİKÇİ KAPASİTESİ  α_ip  —  Tablo 3.6  (birim / dönem)</t>
        </is>
      </c>
    </row>
    <row r="2" ht="24" customHeight="1">
      <c r="A2" s="3" t="inlineStr">
        <is>
          <t>#</t>
        </is>
      </c>
      <c r="B2" s="3" t="inlineStr">
        <is>
          <t>Tedarikçi i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TOPLAM</t>
        </is>
      </c>
      <c r="J2" s="3" t="inlineStr">
        <is>
          <t>Kaynak</t>
        </is>
      </c>
    </row>
    <row r="3" ht="22" customHeight="1">
      <c r="A3" s="4" t="n">
        <v>1</v>
      </c>
      <c r="B3" s="5" t="inlineStr">
        <is>
          <t>Russia  / T1 (i=1)</t>
        </is>
      </c>
      <c r="C3" s="12" t="n">
        <v>10000</v>
      </c>
      <c r="D3" s="12" t="n">
        <v>25000</v>
      </c>
      <c r="E3" s="12" t="n">
        <v>20000</v>
      </c>
      <c r="F3" s="12" t="n">
        <v>10000</v>
      </c>
      <c r="G3" s="12" t="n">
        <v>10000</v>
      </c>
      <c r="H3" s="12" t="n">
        <v>10000</v>
      </c>
      <c r="I3" s="13">
        <f>SUM(C3:H3)</f>
        <v/>
      </c>
      <c r="J3" s="14" t="inlineStr">
        <is>
          <t>Tablo 3.6</t>
        </is>
      </c>
    </row>
    <row r="4" ht="22" customHeight="1">
      <c r="A4" s="7" t="n">
        <v>2</v>
      </c>
      <c r="B4" s="8" t="inlineStr">
        <is>
          <t>Germany / T2 (i=2)</t>
        </is>
      </c>
      <c r="C4" s="15" t="n">
        <v>15000</v>
      </c>
      <c r="D4" s="15" t="n">
        <v>30000</v>
      </c>
      <c r="E4" s="15" t="n">
        <v>15000</v>
      </c>
      <c r="F4" s="15" t="n">
        <v>10000</v>
      </c>
      <c r="G4" s="15" t="n">
        <v>15000</v>
      </c>
      <c r="H4" s="15" t="n">
        <v>10000</v>
      </c>
      <c r="I4" s="13">
        <f>SUM(C4:H4)</f>
        <v/>
      </c>
      <c r="J4" s="16" t="inlineStr">
        <is>
          <t>Tablo 3.6</t>
        </is>
      </c>
    </row>
    <row r="5" ht="22" customHeight="1">
      <c r="A5" s="4" t="n">
        <v>3</v>
      </c>
      <c r="B5" s="5" t="inlineStr">
        <is>
          <t>Norway  / T3 (i=3)</t>
        </is>
      </c>
      <c r="C5" s="12" t="n">
        <v>25000</v>
      </c>
      <c r="D5" s="12" t="n">
        <v>20000</v>
      </c>
      <c r="E5" s="12" t="n">
        <v>30000</v>
      </c>
      <c r="F5" s="12" t="n">
        <v>20000</v>
      </c>
      <c r="G5" s="12" t="n">
        <v>25000</v>
      </c>
      <c r="H5" s="12" t="n">
        <v>10000</v>
      </c>
      <c r="I5" s="13">
        <f>SUM(C5:H5)</f>
        <v/>
      </c>
      <c r="J5" s="14" t="inlineStr">
        <is>
          <t>Tablo 3.6</t>
        </is>
      </c>
    </row>
    <row r="6" ht="22" customHeight="1">
      <c r="A6" s="17" t="inlineStr"/>
      <c r="B6" s="18" t="inlineStr">
        <is>
          <t>TOPLAM (tüm ted.)</t>
        </is>
      </c>
      <c r="C6" s="13">
        <f>SUM(C3:C5)</f>
        <v/>
      </c>
      <c r="D6" s="13">
        <f>SUM(D3:D5)</f>
        <v/>
      </c>
      <c r="E6" s="13">
        <f>SUM(E3:E5)</f>
        <v/>
      </c>
      <c r="F6" s="13">
        <f>SUM(F3:F5)</f>
        <v/>
      </c>
      <c r="G6" s="13">
        <f>SUM(G3:G5)</f>
        <v/>
      </c>
      <c r="H6" s="13">
        <f>SUM(H3:H5)</f>
        <v/>
      </c>
      <c r="I6" s="13">
        <f>SUM(I3:I5)</f>
        <v/>
      </c>
      <c r="J6" s="19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10" t="inlineStr">
        <is>
          <t>FABRİKA KAPASİTESİ  b_jp  —  Tablo 3.6  (Fabrika→DC maks. sevkiyat, birim)</t>
        </is>
      </c>
    </row>
    <row r="2" ht="24" customHeight="1">
      <c r="A2" s="3" t="inlineStr">
        <is>
          <t>#</t>
        </is>
      </c>
      <c r="B2" s="3" t="inlineStr">
        <is>
          <t>Fabrika j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TOPLAM</t>
        </is>
      </c>
      <c r="J2" s="3" t="inlineStr">
        <is>
          <t>Kaynak</t>
        </is>
      </c>
    </row>
    <row r="3" ht="22" customHeight="1">
      <c r="A3" s="4" t="n">
        <v>1</v>
      </c>
      <c r="B3" s="5" t="inlineStr">
        <is>
          <t>Spain  / F1 (j=1)</t>
        </is>
      </c>
      <c r="C3" s="12" t="n">
        <v>40000</v>
      </c>
      <c r="D3" s="12" t="n">
        <v>30000</v>
      </c>
      <c r="E3" s="12" t="n">
        <v>34000</v>
      </c>
      <c r="F3" s="12" t="n">
        <v>28000</v>
      </c>
      <c r="G3" s="12" t="n">
        <v>40000</v>
      </c>
      <c r="H3" s="12" t="n">
        <v>36000</v>
      </c>
      <c r="I3" s="13">
        <f>SUM(C3:H3)</f>
        <v/>
      </c>
      <c r="J3" s="14" t="inlineStr">
        <is>
          <t>Tablo 3.6</t>
        </is>
      </c>
    </row>
    <row r="4" ht="22" customHeight="1">
      <c r="A4" s="7" t="n">
        <v>2</v>
      </c>
      <c r="B4" s="8" t="inlineStr">
        <is>
          <t>Russia / F2 (j=2)</t>
        </is>
      </c>
      <c r="C4" s="15" t="n">
        <v>40000</v>
      </c>
      <c r="D4" s="15" t="n">
        <v>20000</v>
      </c>
      <c r="E4" s="15" t="n">
        <v>30000</v>
      </c>
      <c r="F4" s="15" t="n">
        <v>31000</v>
      </c>
      <c r="G4" s="15" t="n">
        <v>38000</v>
      </c>
      <c r="H4" s="15" t="n">
        <v>40000</v>
      </c>
      <c r="I4" s="13">
        <f>SUM(C4:H4)</f>
        <v/>
      </c>
      <c r="J4" s="16" t="inlineStr">
        <is>
          <t>Tablo 3.6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 ht="28" customHeight="1">
      <c r="A1" s="10" t="inlineStr">
        <is>
          <t>DAĞITIM MERKEZİ KAPASİTESİ  c_p  —  Tablo 3.6  (birim / dönem)</t>
        </is>
      </c>
    </row>
    <row r="2" ht="24" customHeight="1">
      <c r="A2" s="3" t="inlineStr">
        <is>
          <t>#</t>
        </is>
      </c>
      <c r="B2" s="3" t="inlineStr">
        <is>
          <t>DC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Kaynak</t>
        </is>
      </c>
    </row>
    <row r="3" ht="22" customHeight="1">
      <c r="A3" s="4" t="n">
        <v>1</v>
      </c>
      <c r="B3" s="5" t="inlineStr">
        <is>
          <t>Ukraine / DM</t>
        </is>
      </c>
      <c r="C3" s="12" t="n">
        <v>40000</v>
      </c>
      <c r="D3" s="12" t="n">
        <v>40000</v>
      </c>
      <c r="E3" s="12" t="n">
        <v>40000</v>
      </c>
      <c r="F3" s="12" t="n">
        <v>40000</v>
      </c>
      <c r="G3" s="12" t="n">
        <v>40000</v>
      </c>
      <c r="H3" s="12" t="n">
        <v>40000</v>
      </c>
      <c r="I3" s="14" t="inlineStr">
        <is>
          <t>Tablo 3.6</t>
        </is>
      </c>
    </row>
    <row r="5" ht="28" customHeight="1">
      <c r="A5" s="11" t="inlineStr">
        <is>
          <t>NOT: Başlangıç DC stoku Sm = Q0 = 40,000 birim (kısıt: Q0=40000). Kısıt 3.3: ΣY_kp ≤ c_p</t>
        </is>
      </c>
    </row>
  </sheetData>
  <mergeCells count="2">
    <mergeCell ref="A1:I1"/>
    <mergeCell ref="A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10" t="inlineStr">
        <is>
          <t>MÜŞTERİ TALEBİ  d_kp  —  Tablo 3.6  (birim / dönem)</t>
        </is>
      </c>
    </row>
    <row r="2" ht="24" customHeight="1">
      <c r="A2" s="3" t="inlineStr">
        <is>
          <t>#</t>
        </is>
      </c>
      <c r="B2" s="3" t="inlineStr">
        <is>
          <t>Pazar / Müşteri k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TOPLAM</t>
        </is>
      </c>
      <c r="J2" s="3" t="inlineStr">
        <is>
          <t>Kaynak</t>
        </is>
      </c>
    </row>
    <row r="3" ht="22" customHeight="1">
      <c r="A3" s="4" t="n">
        <v>1</v>
      </c>
      <c r="B3" s="5" t="inlineStr">
        <is>
          <t>Finland / M1 (k=1)</t>
        </is>
      </c>
      <c r="C3" s="12" t="n">
        <v>10000</v>
      </c>
      <c r="D3" s="12" t="n">
        <v>10000</v>
      </c>
      <c r="E3" s="12" t="n">
        <v>10000</v>
      </c>
      <c r="F3" s="12" t="n">
        <v>10000</v>
      </c>
      <c r="G3" s="12" t="n">
        <v>10000</v>
      </c>
      <c r="H3" s="12" t="n">
        <v>10000</v>
      </c>
      <c r="I3" s="13">
        <f>SUM(C3:H3)</f>
        <v/>
      </c>
      <c r="J3" s="14" t="inlineStr">
        <is>
          <t>Tablo 3.6</t>
        </is>
      </c>
    </row>
    <row r="4" ht="22" customHeight="1">
      <c r="A4" s="7" t="n">
        <v>2</v>
      </c>
      <c r="B4" s="8" t="inlineStr">
        <is>
          <t>Türkiye / M2 (k=2)</t>
        </is>
      </c>
      <c r="C4" s="15" t="n">
        <v>15000</v>
      </c>
      <c r="D4" s="15" t="n">
        <v>10000</v>
      </c>
      <c r="E4" s="15" t="n">
        <v>10000</v>
      </c>
      <c r="F4" s="15" t="n">
        <v>15000</v>
      </c>
      <c r="G4" s="15" t="n">
        <v>15000</v>
      </c>
      <c r="H4" s="15" t="n">
        <v>15000</v>
      </c>
      <c r="I4" s="13">
        <f>SUM(C4:H4)</f>
        <v/>
      </c>
      <c r="J4" s="16" t="inlineStr">
        <is>
          <t>Tablo 3.6</t>
        </is>
      </c>
    </row>
    <row r="5" ht="22" customHeight="1">
      <c r="A5" s="4" t="n">
        <v>3</v>
      </c>
      <c r="B5" s="5" t="inlineStr">
        <is>
          <t>Russia  / M3 (k=3)</t>
        </is>
      </c>
      <c r="C5" s="12" t="n">
        <v>15000</v>
      </c>
      <c r="D5" s="12" t="n">
        <v>20000</v>
      </c>
      <c r="E5" s="12" t="n">
        <v>15000</v>
      </c>
      <c r="F5" s="12" t="n">
        <v>15000</v>
      </c>
      <c r="G5" s="12" t="n">
        <v>15000</v>
      </c>
      <c r="H5" s="12" t="n">
        <v>15000</v>
      </c>
      <c r="I5" s="13">
        <f>SUM(C5:H5)</f>
        <v/>
      </c>
      <c r="J5" s="14" t="inlineStr">
        <is>
          <t>Tablo 3.6</t>
        </is>
      </c>
    </row>
    <row r="6" ht="22" customHeight="1">
      <c r="A6" s="20" t="inlineStr"/>
      <c r="B6" s="18" t="inlineStr">
        <is>
          <t>DÖNEM TOPLAMI</t>
        </is>
      </c>
      <c r="C6" s="13">
        <f>SUM(C3:C5)</f>
        <v/>
      </c>
      <c r="D6" s="13">
        <f>SUM(D3:D5)</f>
        <v/>
      </c>
      <c r="E6" s="13">
        <f>SUM(E3:E5)</f>
        <v/>
      </c>
      <c r="F6" s="13">
        <f>SUM(F3:F5)</f>
        <v/>
      </c>
      <c r="G6" s="13">
        <f>SUM(G3:G5)</f>
        <v/>
      </c>
      <c r="H6" s="13">
        <f>SUM(H3:H5)</f>
        <v/>
      </c>
      <c r="I6" s="13">
        <f>SUM(I3:I5)</f>
        <v/>
      </c>
      <c r="J6" s="20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 ht="28" customHeight="1">
      <c r="A1" s="10" t="inlineStr">
        <is>
          <t>TAŞIMA MODU KAPASİTESİ  A_tp  —  Tablo 3.6  (birim / dönem, tüm rotalar toplamı)</t>
        </is>
      </c>
    </row>
    <row r="2" ht="24" customHeight="1">
      <c r="A2" s="3" t="inlineStr">
        <is>
          <t>#</t>
        </is>
      </c>
      <c r="B2" s="3" t="inlineStr">
        <is>
          <t>Taşıma Modu t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Kaynak</t>
        </is>
      </c>
    </row>
    <row r="3" ht="22" customHeight="1">
      <c r="A3" s="4" t="n">
        <v>1</v>
      </c>
      <c r="B3" s="5" t="inlineStr">
        <is>
          <t>Tren / Rail (t=1)</t>
        </is>
      </c>
      <c r="C3" s="12" t="n">
        <v>55000</v>
      </c>
      <c r="D3" s="12" t="n">
        <v>55000</v>
      </c>
      <c r="E3" s="12" t="n">
        <v>55000</v>
      </c>
      <c r="F3" s="12" t="n">
        <v>55000</v>
      </c>
      <c r="G3" s="12" t="n">
        <v>55000</v>
      </c>
      <c r="H3" s="12" t="n">
        <v>55000</v>
      </c>
      <c r="I3" s="14" t="inlineStr">
        <is>
          <t>Tablo 3.6</t>
        </is>
      </c>
    </row>
    <row r="4" ht="22" customHeight="1">
      <c r="A4" s="7" t="n">
        <v>2</v>
      </c>
      <c r="B4" s="8" t="inlineStr">
        <is>
          <t>Kara / Road (t=2)</t>
        </is>
      </c>
      <c r="C4" s="15" t="n">
        <v>35000</v>
      </c>
      <c r="D4" s="15" t="n">
        <v>35000</v>
      </c>
      <c r="E4" s="15" t="n">
        <v>35000</v>
      </c>
      <c r="F4" s="15" t="n">
        <v>35000</v>
      </c>
      <c r="G4" s="15" t="n">
        <v>35000</v>
      </c>
      <c r="H4" s="15" t="n">
        <v>35000</v>
      </c>
      <c r="I4" s="16" t="inlineStr">
        <is>
          <t>Tablo 3.6</t>
        </is>
      </c>
    </row>
    <row r="5" ht="22" customHeight="1">
      <c r="A5" s="4" t="n">
        <v>3</v>
      </c>
      <c r="B5" s="5" t="inlineStr">
        <is>
          <t>Deniz / Sea  (t=3)</t>
        </is>
      </c>
      <c r="C5" s="12" t="n">
        <v>75000</v>
      </c>
      <c r="D5" s="12" t="n">
        <v>75000</v>
      </c>
      <c r="E5" s="12" t="n">
        <v>75000</v>
      </c>
      <c r="F5" s="12" t="n">
        <v>75000</v>
      </c>
      <c r="G5" s="12" t="n">
        <v>75000</v>
      </c>
      <c r="H5" s="12" t="n">
        <v>75000</v>
      </c>
      <c r="I5" s="14" t="inlineStr">
        <is>
          <t>Tablo 3.6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0" t="inlineStr">
        <is>
          <t>ULAŞTIRMA SÜRESİ β_ijtp ve FIRSAT KAYBI N_ijtp  —  Tablo 3.1  (zaman birimi: saat)</t>
        </is>
      </c>
    </row>
    <row r="2" ht="18" customHeight="1">
      <c r="A2" s="21" t="n"/>
      <c r="C2" s="3" t="inlineStr">
        <is>
          <t>1.Ted (Russia)</t>
        </is>
      </c>
      <c r="D2" s="21" t="n"/>
      <c r="E2" s="21" t="n"/>
      <c r="F2" s="21" t="n"/>
      <c r="G2" s="3" t="inlineStr">
        <is>
          <t>2.Ted (Germany)</t>
        </is>
      </c>
      <c r="H2" s="21" t="n"/>
      <c r="I2" s="21" t="n"/>
      <c r="J2" s="21" t="n"/>
      <c r="K2" s="3" t="inlineStr">
        <is>
          <t>3.Ted (Norway)</t>
        </is>
      </c>
      <c r="L2" s="21" t="n"/>
      <c r="M2" s="21" t="n"/>
      <c r="N2" s="21" t="n"/>
    </row>
    <row r="3" ht="22" customHeight="1">
      <c r="A3" s="3" t="inlineStr">
        <is>
          <t>#</t>
        </is>
      </c>
      <c r="B3" s="3" t="inlineStr">
        <is>
          <t>Fab / Dönem</t>
        </is>
      </c>
      <c r="C3" s="3" t="inlineStr">
        <is>
          <t>Tren β</t>
        </is>
      </c>
      <c r="D3" s="3" t="inlineStr">
        <is>
          <t>Tren N</t>
        </is>
      </c>
      <c r="E3" s="3" t="inlineStr">
        <is>
          <t>Kara β</t>
        </is>
      </c>
      <c r="F3" s="3" t="inlineStr">
        <is>
          <t>Kara N</t>
        </is>
      </c>
      <c r="G3" s="3" t="inlineStr">
        <is>
          <t>Tren β</t>
        </is>
      </c>
      <c r="H3" s="3" t="inlineStr">
        <is>
          <t>Tren N</t>
        </is>
      </c>
      <c r="I3" s="3" t="inlineStr">
        <is>
          <t>Kara β</t>
        </is>
      </c>
      <c r="J3" s="3" t="inlineStr">
        <is>
          <t>Kara N</t>
        </is>
      </c>
      <c r="K3" s="3" t="inlineStr">
        <is>
          <t>Tren β</t>
        </is>
      </c>
      <c r="L3" s="3" t="inlineStr">
        <is>
          <t>Tren N</t>
        </is>
      </c>
      <c r="M3" s="3" t="inlineStr">
        <is>
          <t>Kara β</t>
        </is>
      </c>
      <c r="N3" s="3" t="inlineStr">
        <is>
          <t>Kara N</t>
        </is>
      </c>
    </row>
    <row r="4" ht="18" customHeight="1">
      <c r="A4" s="7" t="n">
        <v>1</v>
      </c>
      <c r="B4" s="8" t="inlineStr">
        <is>
          <t>Fab1 | Tren | P1</t>
        </is>
      </c>
      <c r="C4" s="9" t="n">
        <v>120</v>
      </c>
      <c r="D4" s="9" t="n">
        <v>48</v>
      </c>
      <c r="G4" s="9" t="n">
        <v>160</v>
      </c>
      <c r="H4" s="9" t="n">
        <v>70</v>
      </c>
      <c r="K4" s="9" t="n">
        <v>180</v>
      </c>
      <c r="L4" s="9" t="n">
        <v>100</v>
      </c>
    </row>
    <row r="5" ht="18" customHeight="1">
      <c r="A5" s="4" t="inlineStr"/>
      <c r="B5" s="5" t="inlineStr">
        <is>
          <t>Fab1 | Tren | P2</t>
        </is>
      </c>
      <c r="C5" s="6" t="n">
        <v>168</v>
      </c>
      <c r="D5" s="6" t="n">
        <v>72</v>
      </c>
      <c r="G5" s="6" t="n">
        <v>200</v>
      </c>
      <c r="H5" s="6" t="n">
        <v>114</v>
      </c>
      <c r="K5" s="6" t="n">
        <v>178</v>
      </c>
      <c r="L5" s="6" t="n">
        <v>108</v>
      </c>
    </row>
    <row r="6" ht="18" customHeight="1">
      <c r="A6" s="7" t="inlineStr"/>
      <c r="B6" s="8" t="inlineStr">
        <is>
          <t>Fab1 | Tren | P3</t>
        </is>
      </c>
      <c r="C6" s="9" t="n">
        <v>192</v>
      </c>
      <c r="D6" s="9" t="n">
        <v>96</v>
      </c>
      <c r="G6" s="9" t="n">
        <v>250</v>
      </c>
      <c r="H6" s="9" t="n">
        <v>172</v>
      </c>
      <c r="K6" s="9" t="n">
        <v>200</v>
      </c>
      <c r="L6" s="9" t="n">
        <v>100</v>
      </c>
    </row>
    <row r="7" ht="18" customHeight="1">
      <c r="A7" s="4" t="inlineStr"/>
      <c r="B7" s="5" t="inlineStr">
        <is>
          <t>Fab1 | Tren | P4</t>
        </is>
      </c>
      <c r="C7" s="6" t="n">
        <v>240</v>
      </c>
      <c r="D7" s="6" t="n">
        <v>120</v>
      </c>
      <c r="G7" s="6" t="n">
        <v>220</v>
      </c>
      <c r="H7" s="6" t="n">
        <v>104</v>
      </c>
      <c r="K7" s="6" t="n">
        <v>300</v>
      </c>
      <c r="L7" s="6" t="n">
        <v>170</v>
      </c>
    </row>
    <row r="8" ht="18" customHeight="1">
      <c r="A8" s="7" t="inlineStr"/>
      <c r="B8" s="8" t="inlineStr">
        <is>
          <t>Fab1 | Tren | P5</t>
        </is>
      </c>
      <c r="C8" s="9" t="n">
        <v>220</v>
      </c>
      <c r="D8" s="9" t="n">
        <v>110</v>
      </c>
      <c r="G8" s="9" t="n">
        <v>245</v>
      </c>
      <c r="H8" s="9" t="n">
        <v>125</v>
      </c>
      <c r="K8" s="9" t="n">
        <v>288</v>
      </c>
      <c r="L8" s="9" t="n">
        <v>144</v>
      </c>
    </row>
    <row r="9" ht="18" customHeight="1">
      <c r="A9" s="4" t="inlineStr"/>
      <c r="B9" s="5" t="inlineStr">
        <is>
          <t>Fab1 | Tren | P6</t>
        </is>
      </c>
      <c r="C9" s="6" t="n">
        <v>250</v>
      </c>
      <c r="D9" s="6" t="n">
        <v>145</v>
      </c>
      <c r="G9" s="6" t="n">
        <v>200</v>
      </c>
      <c r="H9" s="6" t="n">
        <v>100</v>
      </c>
      <c r="K9" s="6" t="n">
        <v>230</v>
      </c>
      <c r="L9" s="6" t="n">
        <v>130</v>
      </c>
    </row>
    <row r="10" ht="18" customHeight="1">
      <c r="A10" s="7" t="inlineStr"/>
      <c r="B10" s="8" t="inlineStr">
        <is>
          <t>Fab1 | Kara | P1</t>
        </is>
      </c>
      <c r="C10" s="9" t="n">
        <v>72</v>
      </c>
      <c r="D10" s="9" t="n">
        <v>0</v>
      </c>
      <c r="G10" s="9" t="n">
        <v>90</v>
      </c>
      <c r="H10" s="9" t="n">
        <v>0</v>
      </c>
      <c r="K10" s="9" t="n">
        <v>80</v>
      </c>
      <c r="L10" s="9" t="n">
        <v>0</v>
      </c>
    </row>
    <row r="11" ht="18" customHeight="1">
      <c r="A11" s="4" t="inlineStr"/>
      <c r="B11" s="5" t="inlineStr">
        <is>
          <t>Fab1 | Kara | P2</t>
        </is>
      </c>
      <c r="C11" s="6" t="n">
        <v>96</v>
      </c>
      <c r="D11" s="6" t="n">
        <v>0</v>
      </c>
      <c r="G11" s="6" t="n">
        <v>86</v>
      </c>
      <c r="H11" s="6" t="n">
        <v>0</v>
      </c>
      <c r="K11" s="6" t="n">
        <v>70</v>
      </c>
      <c r="L11" s="6" t="n">
        <v>0</v>
      </c>
    </row>
    <row r="12" ht="18" customHeight="1">
      <c r="A12" s="7" t="inlineStr"/>
      <c r="B12" s="8" t="inlineStr">
        <is>
          <t>Fab1 | Kara | P3</t>
        </is>
      </c>
      <c r="C12" s="9" t="n">
        <v>96</v>
      </c>
      <c r="D12" s="9" t="n">
        <v>0</v>
      </c>
      <c r="G12" s="9" t="n">
        <v>78</v>
      </c>
      <c r="H12" s="9" t="n">
        <v>0</v>
      </c>
      <c r="K12" s="9" t="n">
        <v>100</v>
      </c>
      <c r="L12" s="9" t="n">
        <v>0</v>
      </c>
    </row>
    <row r="13" ht="18" customHeight="1">
      <c r="A13" s="4" t="inlineStr"/>
      <c r="B13" s="5" t="inlineStr">
        <is>
          <t>Fab1 | Kara | P4</t>
        </is>
      </c>
      <c r="C13" s="6" t="n">
        <v>120</v>
      </c>
      <c r="D13" s="6" t="n">
        <v>0</v>
      </c>
      <c r="G13" s="6" t="n">
        <v>116</v>
      </c>
      <c r="H13" s="6" t="n">
        <v>0</v>
      </c>
      <c r="K13" s="6" t="n">
        <v>130</v>
      </c>
      <c r="L13" s="6" t="n">
        <v>0</v>
      </c>
    </row>
    <row r="14" ht="18" customHeight="1">
      <c r="A14" s="7" t="inlineStr"/>
      <c r="B14" s="8" t="inlineStr">
        <is>
          <t>Fab1 | Kara | P5</t>
        </is>
      </c>
      <c r="C14" s="9" t="n">
        <v>110</v>
      </c>
      <c r="D14" s="9" t="n">
        <v>0</v>
      </c>
      <c r="G14" s="9" t="n">
        <v>120</v>
      </c>
      <c r="H14" s="9" t="n">
        <v>0</v>
      </c>
      <c r="K14" s="9" t="n">
        <v>144</v>
      </c>
      <c r="L14" s="9" t="n">
        <v>0</v>
      </c>
    </row>
    <row r="15" ht="18" customHeight="1">
      <c r="A15" s="4" t="inlineStr"/>
      <c r="B15" s="5" t="inlineStr">
        <is>
          <t>Fab1 | Kara | P6</t>
        </is>
      </c>
      <c r="C15" s="6" t="n">
        <v>105</v>
      </c>
      <c r="D15" s="6" t="n">
        <v>0</v>
      </c>
      <c r="G15" s="6" t="n">
        <v>100</v>
      </c>
      <c r="H15" s="6" t="n">
        <v>0</v>
      </c>
      <c r="K15" s="6" t="n">
        <v>100</v>
      </c>
      <c r="L15" s="6" t="n">
        <v>0</v>
      </c>
    </row>
    <row r="16" ht="18" customHeight="1">
      <c r="A16" s="7" t="inlineStr"/>
      <c r="B16" s="8" t="inlineStr">
        <is>
          <t>Fab1 | Deniz | P1</t>
        </is>
      </c>
      <c r="C16" s="9" t="n">
        <v>264</v>
      </c>
      <c r="D16" s="9" t="n">
        <v>192</v>
      </c>
      <c r="G16" s="9" t="n">
        <v>270</v>
      </c>
      <c r="H16" s="9" t="n">
        <v>180</v>
      </c>
      <c r="K16" s="9" t="n">
        <v>260</v>
      </c>
      <c r="L16" s="9" t="n">
        <v>180</v>
      </c>
    </row>
    <row r="17" ht="18" customHeight="1">
      <c r="A17" s="4" t="inlineStr"/>
      <c r="B17" s="5" t="inlineStr">
        <is>
          <t>Fab1 | Deniz | P2</t>
        </is>
      </c>
      <c r="C17" s="6" t="n">
        <v>336</v>
      </c>
      <c r="D17" s="6" t="n">
        <v>240</v>
      </c>
      <c r="G17" s="6" t="n">
        <v>310</v>
      </c>
      <c r="H17" s="6" t="n">
        <v>224</v>
      </c>
      <c r="K17" s="6" t="n">
        <v>290</v>
      </c>
      <c r="L17" s="6" t="n">
        <v>220</v>
      </c>
    </row>
    <row r="18" ht="18" customHeight="1">
      <c r="A18" s="7" t="inlineStr"/>
      <c r="B18" s="8" t="inlineStr">
        <is>
          <t>Fab1 | Deniz | P3</t>
        </is>
      </c>
      <c r="C18" s="9" t="n">
        <v>384</v>
      </c>
      <c r="D18" s="9" t="n">
        <v>288</v>
      </c>
      <c r="G18" s="9" t="n">
        <v>380</v>
      </c>
      <c r="H18" s="9" t="n">
        <v>302</v>
      </c>
      <c r="K18" s="9" t="n">
        <v>390</v>
      </c>
      <c r="L18" s="9" t="n">
        <v>290</v>
      </c>
    </row>
    <row r="19" ht="18" customHeight="1">
      <c r="A19" s="4" t="inlineStr"/>
      <c r="B19" s="5" t="inlineStr">
        <is>
          <t>Fab1 | Deniz | P4</t>
        </is>
      </c>
      <c r="C19" s="6" t="n">
        <v>504</v>
      </c>
      <c r="D19" s="6" t="n">
        <v>384</v>
      </c>
      <c r="G19" s="6" t="n">
        <v>450</v>
      </c>
      <c r="H19" s="6" t="n">
        <v>334</v>
      </c>
      <c r="K19" s="6" t="n">
        <v>430</v>
      </c>
      <c r="L19" s="6" t="n">
        <v>300</v>
      </c>
    </row>
    <row r="20" ht="18" customHeight="1">
      <c r="A20" s="7" t="inlineStr"/>
      <c r="B20" s="8" t="inlineStr">
        <is>
          <t>Fab1 | Deniz | P5</t>
        </is>
      </c>
      <c r="C20" s="9" t="n">
        <v>460</v>
      </c>
      <c r="D20" s="9" t="n">
        <v>350</v>
      </c>
      <c r="G20" s="9" t="n">
        <v>480</v>
      </c>
      <c r="H20" s="9" t="n">
        <v>360</v>
      </c>
      <c r="K20" s="9" t="n">
        <v>576</v>
      </c>
      <c r="L20" s="9" t="n">
        <v>432</v>
      </c>
    </row>
    <row r="21" ht="18" customHeight="1">
      <c r="A21" s="4" t="inlineStr"/>
      <c r="B21" s="5" t="inlineStr">
        <is>
          <t>Fab1 | Deniz | P6</t>
        </is>
      </c>
      <c r="C21" s="6" t="n">
        <v>500</v>
      </c>
      <c r="D21" s="6" t="n">
        <v>395</v>
      </c>
      <c r="G21" s="6" t="n">
        <v>500</v>
      </c>
      <c r="H21" s="6" t="n">
        <v>400</v>
      </c>
      <c r="K21" s="6" t="n">
        <v>300</v>
      </c>
      <c r="L21" s="6" t="n">
        <v>200</v>
      </c>
    </row>
    <row r="22" ht="8" customHeight="1">
      <c r="A22" s="21" t="n"/>
    </row>
    <row r="23" ht="18" customHeight="1">
      <c r="A23" s="4" t="n">
        <v>2</v>
      </c>
      <c r="B23" s="5" t="inlineStr">
        <is>
          <t>Fab2 | Tren | P1</t>
        </is>
      </c>
      <c r="C23" s="6" t="n">
        <v>240</v>
      </c>
      <c r="D23" s="6" t="n">
        <v>120</v>
      </c>
      <c r="G23" s="6" t="n">
        <v>135</v>
      </c>
      <c r="H23" s="6" t="n">
        <v>80</v>
      </c>
      <c r="K23" s="6" t="n">
        <v>119</v>
      </c>
      <c r="L23" s="6" t="n">
        <v>69</v>
      </c>
    </row>
    <row r="24" ht="18" customHeight="1">
      <c r="A24" s="7" t="inlineStr"/>
      <c r="B24" s="8" t="inlineStr">
        <is>
          <t>Fab2 | Tren | P2</t>
        </is>
      </c>
      <c r="C24" s="9" t="n">
        <v>288</v>
      </c>
      <c r="D24" s="9" t="n">
        <v>144</v>
      </c>
      <c r="G24" s="9" t="n">
        <v>125</v>
      </c>
      <c r="H24" s="9" t="n">
        <v>75</v>
      </c>
      <c r="K24" s="9" t="n">
        <v>108</v>
      </c>
      <c r="L24" s="9" t="n">
        <v>60</v>
      </c>
    </row>
    <row r="25" ht="18" customHeight="1">
      <c r="A25" s="4" t="inlineStr"/>
      <c r="B25" s="5" t="inlineStr">
        <is>
          <t>Fab2 | Tren | P3</t>
        </is>
      </c>
      <c r="C25" s="6" t="n">
        <v>230</v>
      </c>
      <c r="D25" s="6" t="n">
        <v>130</v>
      </c>
      <c r="G25" s="6" t="n">
        <v>230</v>
      </c>
      <c r="H25" s="6" t="n">
        <v>140</v>
      </c>
      <c r="K25" s="6" t="n">
        <v>230</v>
      </c>
      <c r="L25" s="6" t="n">
        <v>150</v>
      </c>
    </row>
    <row r="26" ht="18" customHeight="1">
      <c r="A26" s="7" t="inlineStr"/>
      <c r="B26" s="8" t="inlineStr">
        <is>
          <t>Fab2 | Tren | P4</t>
        </is>
      </c>
      <c r="C26" s="9" t="n">
        <v>200</v>
      </c>
      <c r="D26" s="9" t="n">
        <v>90</v>
      </c>
      <c r="G26" s="9" t="n">
        <v>200</v>
      </c>
      <c r="H26" s="9" t="n">
        <v>112</v>
      </c>
      <c r="K26" s="9" t="n">
        <v>290</v>
      </c>
      <c r="L26" s="9" t="n">
        <v>180</v>
      </c>
    </row>
    <row r="27" ht="18" customHeight="1">
      <c r="A27" s="4" t="inlineStr"/>
      <c r="B27" s="5" t="inlineStr">
        <is>
          <t>Fab2 | Tren | P5</t>
        </is>
      </c>
      <c r="C27" s="6" t="n">
        <v>250</v>
      </c>
      <c r="D27" s="6" t="n">
        <v>172</v>
      </c>
      <c r="G27" s="6" t="n">
        <v>115</v>
      </c>
      <c r="H27" s="6" t="n">
        <v>70</v>
      </c>
      <c r="K27" s="6" t="n">
        <v>115</v>
      </c>
      <c r="L27" s="6" t="n">
        <v>75</v>
      </c>
    </row>
    <row r="28" ht="18" customHeight="1">
      <c r="A28" s="7" t="inlineStr"/>
      <c r="B28" s="8" t="inlineStr">
        <is>
          <t>Fab2 | Tren | P6</t>
        </is>
      </c>
      <c r="C28" s="9" t="n">
        <v>220</v>
      </c>
      <c r="D28" s="9" t="n">
        <v>104</v>
      </c>
      <c r="G28" s="9" t="n">
        <v>100</v>
      </c>
      <c r="H28" s="9" t="n">
        <v>56</v>
      </c>
      <c r="K28" s="9" t="n">
        <v>145</v>
      </c>
      <c r="L28" s="9" t="n">
        <v>90</v>
      </c>
    </row>
    <row r="29" ht="18" customHeight="1">
      <c r="A29" s="4" t="inlineStr"/>
      <c r="B29" s="5" t="inlineStr">
        <is>
          <t>Fab2 | Kara | P1</t>
        </is>
      </c>
      <c r="C29" s="6" t="n">
        <v>120</v>
      </c>
      <c r="D29" s="6" t="n">
        <v>0</v>
      </c>
      <c r="G29" s="6" t="n">
        <v>55</v>
      </c>
      <c r="H29" s="6" t="n">
        <v>0</v>
      </c>
      <c r="K29" s="6" t="n">
        <v>50</v>
      </c>
      <c r="L29" s="6" t="n">
        <v>0</v>
      </c>
    </row>
    <row r="30" ht="18" customHeight="1">
      <c r="A30" s="7" t="inlineStr"/>
      <c r="B30" s="8" t="inlineStr">
        <is>
          <t>Fab2 | Kara | P2</t>
        </is>
      </c>
      <c r="C30" s="9" t="n">
        <v>144</v>
      </c>
      <c r="D30" s="9" t="n">
        <v>0</v>
      </c>
      <c r="G30" s="9" t="n">
        <v>50</v>
      </c>
      <c r="H30" s="9" t="n">
        <v>0</v>
      </c>
      <c r="K30" s="9" t="n">
        <v>48</v>
      </c>
      <c r="L30" s="9" t="n">
        <v>0</v>
      </c>
    </row>
    <row r="31" ht="18" customHeight="1">
      <c r="A31" s="4" t="inlineStr"/>
      <c r="B31" s="5" t="inlineStr">
        <is>
          <t>Fab2 | Kara | P3</t>
        </is>
      </c>
      <c r="C31" s="6" t="n">
        <v>100</v>
      </c>
      <c r="D31" s="6" t="n">
        <v>0</v>
      </c>
      <c r="G31" s="6" t="n">
        <v>90</v>
      </c>
      <c r="H31" s="6" t="n">
        <v>0</v>
      </c>
      <c r="K31" s="6" t="n">
        <v>80</v>
      </c>
      <c r="L31" s="6" t="n">
        <v>0</v>
      </c>
    </row>
    <row r="32" ht="18" customHeight="1">
      <c r="A32" s="7" t="inlineStr"/>
      <c r="B32" s="8" t="inlineStr">
        <is>
          <t>Fab2 | Kara | P4</t>
        </is>
      </c>
      <c r="C32" s="9" t="n">
        <v>110</v>
      </c>
      <c r="D32" s="9" t="n">
        <v>0</v>
      </c>
      <c r="G32" s="9" t="n">
        <v>88</v>
      </c>
      <c r="H32" s="9" t="n">
        <v>0</v>
      </c>
      <c r="K32" s="9" t="n">
        <v>110</v>
      </c>
      <c r="L32" s="9" t="n">
        <v>0</v>
      </c>
    </row>
    <row r="33" ht="18" customHeight="1">
      <c r="A33" s="4" t="inlineStr"/>
      <c r="B33" s="5" t="inlineStr">
        <is>
          <t>Fab2 | Kara | P5</t>
        </is>
      </c>
      <c r="C33" s="6" t="n">
        <v>78</v>
      </c>
      <c r="D33" s="6" t="n">
        <v>0</v>
      </c>
      <c r="G33" s="6" t="n">
        <v>45</v>
      </c>
      <c r="H33" s="6" t="n">
        <v>0</v>
      </c>
      <c r="K33" s="6" t="n">
        <v>40</v>
      </c>
      <c r="L33" s="6" t="n">
        <v>0</v>
      </c>
    </row>
    <row r="34" ht="18" customHeight="1">
      <c r="A34" s="7" t="inlineStr"/>
      <c r="B34" s="8" t="inlineStr">
        <is>
          <t>Fab2 | Kara | P6</t>
        </is>
      </c>
      <c r="C34" s="9" t="n">
        <v>116</v>
      </c>
      <c r="D34" s="9" t="n">
        <v>0</v>
      </c>
      <c r="G34" s="9" t="n">
        <v>44</v>
      </c>
      <c r="H34" s="9" t="n">
        <v>0</v>
      </c>
      <c r="K34" s="9" t="n">
        <v>55</v>
      </c>
      <c r="L34" s="9" t="n">
        <v>0</v>
      </c>
    </row>
    <row r="35" ht="18" customHeight="1">
      <c r="A35" s="4" t="inlineStr"/>
      <c r="B35" s="5" t="inlineStr">
        <is>
          <t>Fab2 | Deniz | P1</t>
        </is>
      </c>
      <c r="C35" s="6" t="n">
        <v>480</v>
      </c>
      <c r="D35" s="6" t="n">
        <v>360</v>
      </c>
      <c r="G35" s="6" t="n">
        <v>250</v>
      </c>
      <c r="H35" s="6" t="n">
        <v>195</v>
      </c>
      <c r="K35" s="6" t="n">
        <v>240</v>
      </c>
      <c r="L35" s="6" t="n">
        <v>190</v>
      </c>
    </row>
    <row r="36" ht="18" customHeight="1">
      <c r="A36" s="7" t="inlineStr"/>
      <c r="B36" s="8" t="inlineStr">
        <is>
          <t>Fab2 | Deniz | P2</t>
        </is>
      </c>
      <c r="C36" s="9" t="n">
        <v>576</v>
      </c>
      <c r="D36" s="9" t="n">
        <v>432</v>
      </c>
      <c r="G36" s="9" t="n">
        <v>300</v>
      </c>
      <c r="H36" s="9" t="n">
        <v>25</v>
      </c>
      <c r="K36" s="9" t="n">
        <v>275</v>
      </c>
      <c r="L36" s="9" t="n">
        <v>227</v>
      </c>
    </row>
    <row r="37" ht="18" customHeight="1">
      <c r="A37" s="4" t="inlineStr"/>
      <c r="B37" s="5" t="inlineStr">
        <is>
          <t>Fab2 | Deniz | P3</t>
        </is>
      </c>
      <c r="C37" s="6" t="n">
        <v>300</v>
      </c>
      <c r="D37" s="6" t="n">
        <v>200</v>
      </c>
      <c r="G37" s="6" t="n">
        <v>320</v>
      </c>
      <c r="H37" s="6" t="n">
        <v>230</v>
      </c>
      <c r="K37" s="6" t="n">
        <v>400</v>
      </c>
      <c r="L37" s="6" t="n">
        <v>320</v>
      </c>
    </row>
    <row r="38" ht="18" customHeight="1">
      <c r="A38" s="7" t="inlineStr"/>
      <c r="B38" s="8" t="inlineStr">
        <is>
          <t>Fab2 | Deniz | P4</t>
        </is>
      </c>
      <c r="C38" s="9" t="n">
        <v>550</v>
      </c>
      <c r="D38" s="9" t="n">
        <v>440</v>
      </c>
      <c r="G38" s="9" t="n">
        <v>510</v>
      </c>
      <c r="H38" s="9" t="n">
        <v>422</v>
      </c>
      <c r="K38" s="9" t="n">
        <v>500</v>
      </c>
      <c r="L38" s="9" t="n">
        <v>390</v>
      </c>
    </row>
    <row r="39" ht="18" customHeight="1">
      <c r="A39" s="4" t="inlineStr"/>
      <c r="B39" s="5" t="inlineStr">
        <is>
          <t>Fab2 | Deniz | P5</t>
        </is>
      </c>
      <c r="C39" s="6" t="n">
        <v>380</v>
      </c>
      <c r="D39" s="6" t="n">
        <v>302</v>
      </c>
      <c r="G39" s="6" t="n">
        <v>160</v>
      </c>
      <c r="H39" s="6" t="n">
        <v>115</v>
      </c>
      <c r="K39" s="6" t="n">
        <v>200</v>
      </c>
      <c r="L39" s="6" t="n">
        <v>160</v>
      </c>
    </row>
    <row r="40" ht="18" customHeight="1">
      <c r="A40" s="7" t="inlineStr"/>
      <c r="B40" s="8" t="inlineStr">
        <is>
          <t>Fab2 | Deniz | P6</t>
        </is>
      </c>
      <c r="C40" s="9" t="n">
        <v>450</v>
      </c>
      <c r="D40" s="9" t="n">
        <v>334</v>
      </c>
      <c r="G40" s="9" t="n">
        <v>255</v>
      </c>
      <c r="H40" s="9" t="n">
        <v>211</v>
      </c>
      <c r="K40" s="9" t="n">
        <v>250</v>
      </c>
      <c r="L40" s="9" t="n">
        <v>195</v>
      </c>
    </row>
    <row r="42" ht="30" customHeight="1">
      <c r="A42" s="11" t="inlineStr">
        <is>
          <t>NOT: β_ijtp = ulaştırma süresi (saat) | N_ijtp = fırsat kaybı değeri (saat) | Kara yolu N=0 (gecikme riski yok) | Fırsat maliyeti = π × N_ijtp × X_ijtp, π=0.10 ($/birim/saat)</t>
        </is>
      </c>
    </row>
  </sheetData>
  <mergeCells count="7">
    <mergeCell ref="A2:B2"/>
    <mergeCell ref="A22:N22"/>
    <mergeCell ref="G2:J2"/>
    <mergeCell ref="K2:N2"/>
    <mergeCell ref="A42:N42"/>
    <mergeCell ref="C2:F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8" customWidth="1" min="9" max="9"/>
  </cols>
  <sheetData>
    <row r="1" ht="28" customHeight="1">
      <c r="A1" s="10" t="inlineStr">
        <is>
          <t>TAŞIMA, ELDE TUTMA ve YOK SATMA MALİYETLERİ  —  Tablo 3.5</t>
        </is>
      </c>
    </row>
    <row r="2" ht="24" customHeight="1">
      <c r="A2" s="3" t="inlineStr">
        <is>
          <t>#</t>
        </is>
      </c>
      <c r="B2" s="3" t="inlineStr">
        <is>
          <t>Parametre / Aktör</t>
        </is>
      </c>
      <c r="C2" s="3" t="inlineStr">
        <is>
          <t>P1</t>
        </is>
      </c>
      <c r="D2" s="3" t="inlineStr">
        <is>
          <t>P2</t>
        </is>
      </c>
      <c r="E2" s="3" t="inlineStr">
        <is>
          <t>P3</t>
        </is>
      </c>
      <c r="F2" s="3" t="inlineStr">
        <is>
          <t>P4</t>
        </is>
      </c>
      <c r="G2" s="3" t="inlineStr">
        <is>
          <t>P5</t>
        </is>
      </c>
      <c r="H2" s="3" t="inlineStr">
        <is>
          <t>P6</t>
        </is>
      </c>
      <c r="I2" s="3" t="inlineStr">
        <is>
          <t>Kaynak</t>
        </is>
      </c>
    </row>
    <row r="3" ht="22" customHeight="1">
      <c r="A3" s="4" t="n">
        <v>1</v>
      </c>
      <c r="B3" s="5" t="inlineStr">
        <is>
          <t>C_jp — Spain/F1 → DC (W)</t>
        </is>
      </c>
      <c r="C3" s="22" t="n">
        <v>20</v>
      </c>
      <c r="D3" s="22" t="n">
        <v>30</v>
      </c>
      <c r="E3" s="22" t="n">
        <v>20</v>
      </c>
      <c r="F3" s="22" t="n">
        <v>30</v>
      </c>
      <c r="G3" s="22" t="n">
        <v>40</v>
      </c>
      <c r="H3" s="22" t="n">
        <v>20</v>
      </c>
      <c r="I3" s="14" t="inlineStr">
        <is>
          <t>Tablo 3.5  ($/birim)</t>
        </is>
      </c>
    </row>
    <row r="4" ht="22" customHeight="1">
      <c r="A4" s="7" t="n">
        <v>2</v>
      </c>
      <c r="B4" s="8" t="inlineStr">
        <is>
          <t>C_jp — Russia/F2 → DC (W)</t>
        </is>
      </c>
      <c r="C4" s="23" t="n">
        <v>30</v>
      </c>
      <c r="D4" s="23" t="n">
        <v>20</v>
      </c>
      <c r="E4" s="23" t="n">
        <v>40</v>
      </c>
      <c r="F4" s="23" t="n">
        <v>20</v>
      </c>
      <c r="G4" s="23" t="n">
        <v>30</v>
      </c>
      <c r="H4" s="23" t="n">
        <v>20</v>
      </c>
      <c r="I4" s="16" t="inlineStr">
        <is>
          <t>Tablo 3.5  ($/birim)</t>
        </is>
      </c>
    </row>
    <row r="5" ht="22" customHeight="1">
      <c r="A5" s="4" t="n">
        <v>3</v>
      </c>
      <c r="B5" s="5" t="inlineStr">
        <is>
          <t>C_kp — Finland/M1 (Y)</t>
        </is>
      </c>
      <c r="C5" s="22" t="n">
        <v>40</v>
      </c>
      <c r="D5" s="22" t="n">
        <v>20</v>
      </c>
      <c r="E5" s="22" t="n">
        <v>30</v>
      </c>
      <c r="F5" s="22" t="n">
        <v>30</v>
      </c>
      <c r="G5" s="22" t="n">
        <v>40</v>
      </c>
      <c r="H5" s="22" t="n">
        <v>20</v>
      </c>
      <c r="I5" s="14" t="inlineStr">
        <is>
          <t>Tablo 3.5  ($/birim)</t>
        </is>
      </c>
    </row>
    <row r="6" ht="22" customHeight="1">
      <c r="A6" s="7" t="n">
        <v>4</v>
      </c>
      <c r="B6" s="8" t="inlineStr">
        <is>
          <t>C_kp — Türkiye/M2 (Y)</t>
        </is>
      </c>
      <c r="C6" s="23" t="n">
        <v>30</v>
      </c>
      <c r="D6" s="23" t="n">
        <v>40</v>
      </c>
      <c r="E6" s="23" t="n">
        <v>30</v>
      </c>
      <c r="F6" s="23" t="n">
        <v>20</v>
      </c>
      <c r="G6" s="23" t="n">
        <v>40</v>
      </c>
      <c r="H6" s="23" t="n">
        <v>20</v>
      </c>
      <c r="I6" s="16" t="inlineStr">
        <is>
          <t>Tablo 3.5  ($/birim)</t>
        </is>
      </c>
    </row>
    <row r="7" ht="22" customHeight="1">
      <c r="A7" s="4" t="n">
        <v>5</v>
      </c>
      <c r="B7" s="5" t="inlineStr">
        <is>
          <t>C_kp — Russia/M3  (Y)</t>
        </is>
      </c>
      <c r="C7" s="22" t="n">
        <v>30</v>
      </c>
      <c r="D7" s="22" t="n">
        <v>20</v>
      </c>
      <c r="E7" s="22" t="n">
        <v>40</v>
      </c>
      <c r="F7" s="22" t="n">
        <v>20</v>
      </c>
      <c r="G7" s="22" t="n">
        <v>30</v>
      </c>
      <c r="H7" s="22" t="n">
        <v>20</v>
      </c>
      <c r="I7" s="14" t="inlineStr">
        <is>
          <t>Tablo 3.5  ($/birim)</t>
        </is>
      </c>
    </row>
    <row r="8" ht="22" customHeight="1">
      <c r="A8" s="24" t="n">
        <v>6</v>
      </c>
      <c r="B8" s="25" t="inlineStr">
        <is>
          <t>R — DC elde tutma maliyeti</t>
        </is>
      </c>
      <c r="C8" s="26" t="n">
        <v>20</v>
      </c>
      <c r="D8" s="26" t="n">
        <v>25</v>
      </c>
      <c r="E8" s="26" t="n">
        <v>20</v>
      </c>
      <c r="F8" s="26" t="n">
        <v>10</v>
      </c>
      <c r="G8" s="26" t="n">
        <v>20</v>
      </c>
      <c r="H8" s="26" t="n">
        <v>20</v>
      </c>
      <c r="I8" s="27" t="inlineStr">
        <is>
          <t>Tablo 3.5  ($/birim/dönem)</t>
        </is>
      </c>
    </row>
    <row r="9" ht="22" customHeight="1">
      <c r="A9" s="24" t="n">
        <v>7</v>
      </c>
      <c r="B9" s="25" t="inlineStr">
        <is>
          <t>T — Yok satma (backlog) mal.</t>
        </is>
      </c>
      <c r="C9" s="26" t="n">
        <v>20</v>
      </c>
      <c r="D9" s="26" t="n">
        <v>20</v>
      </c>
      <c r="E9" s="26" t="n">
        <v>20</v>
      </c>
      <c r="F9" s="26" t="n">
        <v>30</v>
      </c>
      <c r="G9" s="26" t="n">
        <v>25</v>
      </c>
      <c r="H9" s="26" t="n">
        <v>15</v>
      </c>
      <c r="I9" s="27" t="inlineStr">
        <is>
          <t>Tablo 3.5  ($/birim/dönem)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48" customWidth="1" min="5" max="5"/>
  </cols>
  <sheetData>
    <row r="1" ht="28" customHeight="1">
      <c r="A1" s="10" t="inlineStr">
        <is>
          <t>SKALER PARAMETRELER — Amaç Fonksiyonu ve Model Yapısı</t>
        </is>
      </c>
    </row>
    <row r="2" ht="24" customHeight="1">
      <c r="A2" s="3" t="inlineStr">
        <is>
          <t>Parametre</t>
        </is>
      </c>
      <c r="B2" s="3" t="inlineStr">
        <is>
          <t>Sembol</t>
        </is>
      </c>
      <c r="C2" s="3" t="inlineStr">
        <is>
          <t>Değer</t>
        </is>
      </c>
      <c r="D2" s="3" t="inlineStr">
        <is>
          <t>Birim</t>
        </is>
      </c>
      <c r="E2" s="3" t="inlineStr">
        <is>
          <t>Açıklama / Kaynak</t>
        </is>
      </c>
    </row>
    <row r="3" ht="28" customHeight="1">
      <c r="A3" s="5" t="inlineStr">
        <is>
          <t>Fırsat maliyeti katsayısı</t>
        </is>
      </c>
      <c r="B3" s="4" t="inlineStr">
        <is>
          <t>π</t>
        </is>
      </c>
      <c r="C3" s="6" t="n">
        <v>0.1</v>
      </c>
      <c r="D3" s="28" t="inlineStr">
        <is>
          <t>$/birim/saat</t>
        </is>
      </c>
      <c r="E3" s="14" t="inlineStr">
        <is>
          <t>Obj. f. katsayılarından türetildi: 48×π=4.8 → π=0.10  (Tablo 3.1 &amp; Obj.F.)</t>
        </is>
      </c>
    </row>
    <row r="4" ht="28" customHeight="1">
      <c r="A4" s="8" t="inlineStr">
        <is>
          <t>Başlangıç DC stoku</t>
        </is>
      </c>
      <c r="B4" s="7" t="inlineStr">
        <is>
          <t>Sm / Q0</t>
        </is>
      </c>
      <c r="C4" s="9" t="n">
        <v>40000</v>
      </c>
      <c r="D4" s="29" t="inlineStr">
        <is>
          <t>birim</t>
        </is>
      </c>
      <c r="E4" s="16" t="inlineStr">
        <is>
          <t>Model kısıtı: Q0=40,000 (CPLEX kısıt dosyası satırı: Q0=40000)</t>
        </is>
      </c>
    </row>
    <row r="5" ht="28" customHeight="1">
      <c r="A5" s="5" t="inlineStr">
        <is>
          <t>Fabrika → DC teslim süresi</t>
        </is>
      </c>
      <c r="B5" s="4" t="inlineStr">
        <is>
          <t>Fj</t>
        </is>
      </c>
      <c r="C5" s="6" t="n">
        <v>1</v>
      </c>
      <c r="D5" s="28" t="inlineStr">
        <is>
          <t>dönem</t>
        </is>
      </c>
      <c r="E5" s="14" t="inlineStr">
        <is>
          <t>W10, W20 değişkenleri Obj.F.'da görünür → Fj=1 dönem gecikme</t>
        </is>
      </c>
    </row>
    <row r="6" ht="28" customHeight="1">
      <c r="A6" s="8" t="inlineStr">
        <is>
          <t>DC → Müşteri teslim süresi</t>
        </is>
      </c>
      <c r="B6" s="7" t="inlineStr">
        <is>
          <t>Gk</t>
        </is>
      </c>
      <c r="C6" s="9" t="n">
        <v>2</v>
      </c>
      <c r="D6" s="29" t="inlineStr">
        <is>
          <t>dönem</t>
        </is>
      </c>
      <c r="E6" s="16" t="inlineStr">
        <is>
          <t>Y13,Y23,Y33 P1 dönem denge kısıtında yer alır → Gk=2 dönem gecikme</t>
        </is>
      </c>
    </row>
    <row r="7" ht="28" customHeight="1">
      <c r="A7" s="5" t="inlineStr">
        <is>
          <t>Optimal toplam maliyet</t>
        </is>
      </c>
      <c r="B7" s="4" t="inlineStr">
        <is>
          <t>Z*</t>
        </is>
      </c>
      <c r="C7" s="6" t="n">
        <v>922396.5</v>
      </c>
      <c r="D7" s="28" t="inlineStr">
        <is>
          <t>$</t>
        </is>
      </c>
      <c r="E7" s="14" t="inlineStr">
        <is>
          <t>Seçmen et al. (2015) — Gurobi &amp; CPLEX doğrulanmış optimal değer</t>
        </is>
      </c>
    </row>
    <row r="8" ht="28" customHeight="1">
      <c r="A8" s="8" t="inlineStr">
        <is>
          <t>Planlama ufku</t>
        </is>
      </c>
      <c r="B8" s="7" t="inlineStr">
        <is>
          <t>|P|</t>
        </is>
      </c>
      <c r="C8" s="9" t="n">
        <v>6</v>
      </c>
      <c r="D8" s="29" t="inlineStr">
        <is>
          <t>dönem</t>
        </is>
      </c>
      <c r="E8" s="16" t="inlineStr">
        <is>
          <t>P1–P6 aylık dönemler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2026-03-10T12:47:15Z</dcterms:created>
  <dcterms:modified xmlns:dcterms="http://purl.org/dc/terms/" xmlns:xsi="http://www.w3.org/2001/XMLSchema-instance" xsi:type="dcterms:W3CDTF">2026-03-10T12:47:15Z</dcterms:modified>
</cp:coreProperties>
</file>